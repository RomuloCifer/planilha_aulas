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planilha_aulas\"/>
    </mc:Choice>
  </mc:AlternateContent>
  <xr:revisionPtr revIDLastSave="0" documentId="13_ncr:1_{C1E0B3C2-3423-4336-B24D-9DE0DAC20BA6}" xr6:coauthVersionLast="47" xr6:coauthVersionMax="47" xr10:uidLastSave="{00000000-0000-0000-0000-000000000000}"/>
  <bookViews>
    <workbookView xWindow="-120" yWindow="-120" windowWidth="29040" windowHeight="15840" tabRatio="8" firstSheet="2" activeTab="2" xr2:uid="{55DD05B3-2E48-4CFE-9824-27023EFF2883}"/>
  </bookViews>
  <sheets>
    <sheet name="Controle_Alunos" sheetId="1" r:id="rId1"/>
    <sheet name="Controle_aulas" sheetId="3" r:id="rId2"/>
    <sheet name="Dashboard" sheetId="9" r:id="rId3"/>
    <sheet name="Calculos" sheetId="7" state="hidden" r:id="rId4"/>
    <sheet name="ASSETS" sheetId="2" state="hidden" r:id="rId5"/>
    <sheet name="BASES" sheetId="6" r:id="rId6"/>
  </sheets>
  <functionGroups builtInGroupCount="19"/>
  <definedNames>
    <definedName name="_xleta.SUMPRODUCT" hidden="1" xlm="1">#NAME?</definedName>
    <definedName name="ListaAlunos" localSheetId="2">#REF!</definedName>
    <definedName name="ListaAlunos">tb_alunos[Nome]</definedName>
    <definedName name="SegmentaçãodeDados_Mese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7" l="1"/>
  <c r="C5" i="7"/>
  <c r="C6" i="7"/>
  <c r="C7" i="7"/>
  <c r="C8" i="7"/>
  <c r="C9" i="7"/>
  <c r="C10" i="7"/>
  <c r="C11" i="7"/>
  <c r="C12" i="7"/>
  <c r="C13" i="7"/>
  <c r="C3" i="7"/>
  <c r="N10" i="7"/>
  <c r="B4" i="9"/>
  <c r="G19" i="9" s="1" a="1"/>
  <c r="G19" i="9" s="1"/>
  <c r="G8" i="7"/>
  <c r="G4" i="7"/>
  <c r="D4" i="7"/>
  <c r="C2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<sst xmlns="http://schemas.openxmlformats.org/spreadsheetml/2006/main" count="79" uniqueCount="72">
  <si>
    <t>#c44d4d</t>
  </si>
  <si>
    <t>#be2929</t>
  </si>
  <si>
    <t>#bb0b0b</t>
  </si>
  <si>
    <t>#a20202</t>
  </si>
  <si>
    <t>#800000</t>
  </si>
  <si>
    <t>CONTROLE DE ALUNOS</t>
  </si>
  <si>
    <t>ID</t>
  </si>
  <si>
    <t>Nome</t>
  </si>
  <si>
    <t>Dia aula</t>
  </si>
  <si>
    <t>Telefone</t>
  </si>
  <si>
    <t>Valor</t>
  </si>
  <si>
    <t>Objetivo</t>
  </si>
  <si>
    <t>Ativo?</t>
  </si>
  <si>
    <t>Paleta de Cores</t>
  </si>
  <si>
    <t>Logos</t>
  </si>
  <si>
    <t>ícones</t>
  </si>
  <si>
    <t>CONTROLE DE AULAS</t>
  </si>
  <si>
    <t>#E8E6E9</t>
  </si>
  <si>
    <t>negative zone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</si>
  <si>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</si>
  <si>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</si>
  <si>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</si>
  <si>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</si>
  <si>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</si>
  <si>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</si>
  <si>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</si>
  <si>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</si>
  <si>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</si>
  <si>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</si>
  <si>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</si>
  <si>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</si>
  <si>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AULA 01</t>
  </si>
  <si>
    <t>AULA 02</t>
  </si>
  <si>
    <t>AULA 03</t>
  </si>
  <si>
    <t>AULA 04</t>
  </si>
  <si>
    <t>AULA 05</t>
  </si>
  <si>
    <t>AULA 06</t>
  </si>
  <si>
    <t>AULA 07</t>
  </si>
  <si>
    <t>AULA 08</t>
  </si>
  <si>
    <t>AULA 09</t>
  </si>
  <si>
    <t>AULA 10</t>
  </si>
  <si>
    <t>Aluno</t>
  </si>
  <si>
    <t>dia_aula</t>
  </si>
  <si>
    <t>Pago</t>
  </si>
  <si>
    <t>Conteudo</t>
  </si>
  <si>
    <t>Pacote</t>
  </si>
  <si>
    <t>AlunoID</t>
  </si>
  <si>
    <t>DataAula</t>
  </si>
  <si>
    <t>MesRef</t>
  </si>
  <si>
    <t>DataPgto</t>
  </si>
  <si>
    <t>Cobrança</t>
  </si>
  <si>
    <t>Status</t>
  </si>
  <si>
    <t>Mês</t>
  </si>
  <si>
    <t>valor esperado no mês</t>
  </si>
  <si>
    <t>Alunos ativos</t>
  </si>
  <si>
    <t>ValorRecebido</t>
  </si>
  <si>
    <t>ValorPago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</si>
  <si>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</si>
  <si>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</si>
  <si>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</si>
  <si>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</si>
  <si>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</si>
  <si>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</si>
  <si>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</si>
  <si>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</si>
  <si>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</si>
  <si>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</si>
  <si>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</si>
  <si>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</si>
  <si>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Meses</t>
  </si>
  <si>
    <t>PAGO?</t>
  </si>
  <si>
    <t>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</si>
</sst>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\(00\)\ 00000\-0000"/>
    <numFmt numFmtId="166" formatCode="dd/mm"/>
  </numFmts>
  <fonts count="14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8"/>
      <color theme="1" tint="0.14999847407452621"/>
      <name val="Aptos Narrow"/>
      <family val="2"/>
      <scheme val="minor"/>
    </font>
    <font>
      <b/>
      <sz val="14"/>
      <color rgb="FFC44D4D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rgb="FFC44D4D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4"/>
      <color rgb="FF800000"/>
      <name val="Aptos Narrow"/>
      <family val="2"/>
      <scheme val="minor"/>
    </font>
    <font>
      <b/>
      <sz val="11"/>
      <color theme="1"/>
      <name val="Segoe UI"/>
      <family val="2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6"/>
      <color rgb="FFBB0B0B"/>
      <name val="Aptos Narrow"/>
      <family val="2"/>
      <scheme val="minor"/>
    </font>
    <font>
      <sz val="11"/>
      <color rgb="FFE8E6E9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44D4D"/>
        <bgColor indexed="64"/>
      </patternFill>
    </fill>
    <fill>
      <patternFill patternType="solid">
        <fgColor rgb="FFBE2929"/>
        <bgColor indexed="64"/>
      </patternFill>
    </fill>
    <fill>
      <patternFill patternType="solid">
        <fgColor rgb="FFBB0B0B"/>
        <bgColor indexed="64"/>
      </patternFill>
    </fill>
    <fill>
      <patternFill patternType="solid">
        <fgColor rgb="FFA2020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8E6E9"/>
        <bgColor indexed="64"/>
      </patternFill>
    </fill>
    <fill>
      <patternFill patternType="solid">
        <fgColor rgb="FFE8E6E9"/>
        <bgColor theme="0" tint="-0.14999847407452621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BB0B0B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medium">
        <color indexed="64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ck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thin">
        <color theme="0"/>
      </left>
      <right/>
      <top style="medium">
        <color indexed="64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ashed">
        <color rgb="FFC44D4D"/>
      </left>
      <right style="dashed">
        <color rgb="FFC44D4D"/>
      </right>
      <top style="dashed">
        <color rgb="FFC44D4D"/>
      </top>
      <bottom style="dashed">
        <color rgb="FFC44D4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8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64" fontId="0" fillId="9" borderId="0" xfId="0" applyNumberFormat="1" applyFill="1" applyAlignment="1">
      <alignment horizontal="center" vertical="center"/>
    </xf>
    <xf numFmtId="0" fontId="2" fillId="8" borderId="2" xfId="1" applyFont="1" applyFill="1" applyBorder="1" applyAlignment="1">
      <alignment vertical="center"/>
    </xf>
    <xf numFmtId="165" fontId="0" fillId="8" borderId="0" xfId="0" applyNumberFormat="1" applyFill="1"/>
    <xf numFmtId="165" fontId="2" fillId="8" borderId="2" xfId="1" applyNumberFormat="1" applyFont="1" applyFill="1" applyBorder="1" applyAlignment="1">
      <alignment vertical="center"/>
    </xf>
    <xf numFmtId="165" fontId="0" fillId="0" borderId="0" xfId="0" applyNumberFormat="1"/>
    <xf numFmtId="0" fontId="2" fillId="8" borderId="2" xfId="1" applyNumberFormat="1" applyFont="1" applyFill="1" applyBorder="1" applyAlignment="1">
      <alignment vertical="center"/>
    </xf>
    <xf numFmtId="2" fontId="0" fillId="8" borderId="0" xfId="0" applyNumberFormat="1" applyFill="1"/>
    <xf numFmtId="2" fontId="2" fillId="8" borderId="2" xfId="1" applyNumberFormat="1" applyFont="1" applyFill="1" applyBorder="1" applyAlignment="1">
      <alignment horizontal="left" vertical="center" indent="3"/>
    </xf>
    <xf numFmtId="2" fontId="0" fillId="0" borderId="0" xfId="0" applyNumberFormat="1"/>
    <xf numFmtId="1" fontId="0" fillId="8" borderId="0" xfId="0" applyNumberFormat="1" applyFill="1"/>
    <xf numFmtId="1" fontId="2" fillId="8" borderId="2" xfId="1" applyNumberFormat="1" applyFont="1" applyFill="1" applyBorder="1" applyAlignment="1">
      <alignment vertical="center"/>
    </xf>
    <xf numFmtId="1" fontId="0" fillId="0" borderId="0" xfId="0" applyNumberFormat="1"/>
    <xf numFmtId="0" fontId="1" fillId="0" borderId="1" xfId="1"/>
    <xf numFmtId="0" fontId="0" fillId="10" borderId="0" xfId="0" applyFill="1"/>
    <xf numFmtId="164" fontId="0" fillId="10" borderId="0" xfId="0" applyNumberFormat="1" applyFill="1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center" vertical="center"/>
    </xf>
    <xf numFmtId="2" fontId="0" fillId="10" borderId="0" xfId="0" applyNumberFormat="1" applyFill="1"/>
    <xf numFmtId="1" fontId="0" fillId="10" borderId="0" xfId="0" applyNumberFormat="1" applyFill="1"/>
    <xf numFmtId="165" fontId="0" fillId="10" borderId="0" xfId="0" applyNumberFormat="1" applyFill="1"/>
    <xf numFmtId="2" fontId="3" fillId="11" borderId="0" xfId="0" applyNumberFormat="1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65" fontId="3" fillId="11" borderId="0" xfId="0" applyNumberFormat="1" applyFont="1" applyFill="1" applyAlignment="1">
      <alignment horizontal="center" vertical="center"/>
    </xf>
    <xf numFmtId="164" fontId="3" fillId="11" borderId="0" xfId="0" applyNumberFormat="1" applyFont="1" applyFill="1" applyAlignment="1">
      <alignment horizontal="center" vertical="center"/>
    </xf>
    <xf numFmtId="0" fontId="5" fillId="10" borderId="8" xfId="0" applyFont="1" applyFill="1" applyBorder="1" applyAlignment="1">
      <alignment horizontal="center" vertical="center"/>
    </xf>
    <xf numFmtId="0" fontId="0" fillId="10" borderId="14" xfId="0" applyFill="1" applyBorder="1"/>
    <xf numFmtId="0" fontId="5" fillId="10" borderId="15" xfId="0" applyFont="1" applyFill="1" applyBorder="1" applyAlignment="1">
      <alignment horizontal="center" vertical="center"/>
    </xf>
    <xf numFmtId="0" fontId="5" fillId="10" borderId="16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2" fontId="3" fillId="11" borderId="3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7" fillId="10" borderId="0" xfId="0" applyNumberFormat="1" applyFont="1" applyFill="1" applyAlignment="1">
      <alignment horizontal="center" vertical="center"/>
    </xf>
    <xf numFmtId="165" fontId="7" fillId="10" borderId="0" xfId="0" applyNumberFormat="1" applyFont="1" applyFill="1" applyAlignment="1">
      <alignment horizontal="center" vertical="center"/>
    </xf>
    <xf numFmtId="164" fontId="7" fillId="10" borderId="0" xfId="0" applyNumberFormat="1" applyFont="1" applyFill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9" xfId="0" quotePrefix="1" applyFont="1" applyFill="1" applyBorder="1" applyAlignment="1">
      <alignment horizontal="center" vertical="center"/>
    </xf>
    <xf numFmtId="166" fontId="8" fillId="10" borderId="6" xfId="0" applyNumberFormat="1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top" wrapText="1"/>
    </xf>
    <xf numFmtId="0" fontId="8" fillId="10" borderId="9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166" fontId="8" fillId="10" borderId="13" xfId="0" applyNumberFormat="1" applyFont="1" applyFill="1" applyBorder="1" applyAlignment="1">
      <alignment horizontal="center" vertical="top" wrapText="1"/>
    </xf>
    <xf numFmtId="0" fontId="8" fillId="10" borderId="10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0" fontId="8" fillId="10" borderId="20" xfId="0" applyFont="1" applyFill="1" applyBorder="1" applyAlignment="1">
      <alignment horizontal="center" vertical="center"/>
    </xf>
    <xf numFmtId="166" fontId="8" fillId="10" borderId="11" xfId="0" applyNumberFormat="1" applyFont="1" applyFill="1" applyBorder="1" applyAlignment="1">
      <alignment horizontal="center" vertical="top" wrapText="1"/>
    </xf>
    <xf numFmtId="166" fontId="8" fillId="10" borderId="12" xfId="0" applyNumberFormat="1" applyFont="1" applyFill="1" applyBorder="1" applyAlignment="1">
      <alignment horizontal="center" vertical="top" wrapText="1"/>
    </xf>
    <xf numFmtId="166" fontId="8" fillId="10" borderId="6" xfId="0" applyNumberFormat="1" applyFont="1" applyFill="1" applyBorder="1" applyAlignment="1">
      <alignment horizontal="center" vertical="top" wrapText="1"/>
    </xf>
    <xf numFmtId="166" fontId="8" fillId="10" borderId="4" xfId="0" applyNumberFormat="1" applyFont="1" applyFill="1" applyBorder="1" applyAlignment="1">
      <alignment horizontal="center" vertical="top" wrapText="1"/>
    </xf>
    <xf numFmtId="1" fontId="3" fillId="11" borderId="0" xfId="0" quotePrefix="1" applyNumberFormat="1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" fontId="7" fillId="10" borderId="0" xfId="0" quotePrefix="1" applyNumberFormat="1" applyFont="1" applyFill="1" applyAlignment="1">
      <alignment horizontal="center" vertical="center"/>
    </xf>
    <xf numFmtId="1" fontId="3" fillId="11" borderId="0" xfId="0" applyNumberFormat="1" applyFont="1" applyFill="1" applyAlignment="1">
      <alignment horizontal="center" vertical="center"/>
    </xf>
    <xf numFmtId="44" fontId="0" fillId="0" borderId="0" xfId="0" applyNumberFormat="1"/>
    <xf numFmtId="0" fontId="0" fillId="0" borderId="23" xfId="0" applyBorder="1"/>
    <xf numFmtId="0" fontId="0" fillId="0" borderId="24" xfId="0" applyBorder="1"/>
    <xf numFmtId="0" fontId="11" fillId="0" borderId="25" xfId="0" applyFont="1" applyBorder="1"/>
    <xf numFmtId="0" fontId="0" fillId="0" borderId="26" xfId="0" applyBorder="1"/>
    <xf numFmtId="0" fontId="0" fillId="0" borderId="21" xfId="0" applyBorder="1"/>
    <xf numFmtId="0" fontId="0" fillId="0" borderId="27" xfId="0" applyBorder="1"/>
    <xf numFmtId="0" fontId="11" fillId="0" borderId="23" xfId="0" applyFont="1" applyBorder="1"/>
    <xf numFmtId="44" fontId="10" fillId="0" borderId="27" xfId="0" applyNumberFormat="1" applyFont="1" applyBorder="1"/>
    <xf numFmtId="0" fontId="11" fillId="0" borderId="28" xfId="0" applyFont="1" applyBorder="1"/>
    <xf numFmtId="14" fontId="0" fillId="0" borderId="29" xfId="0" applyNumberFormat="1" applyBorder="1"/>
    <xf numFmtId="14" fontId="9" fillId="8" borderId="0" xfId="0" applyNumberFormat="1" applyFont="1" applyFill="1"/>
    <xf numFmtId="0" fontId="12" fillId="10" borderId="17" xfId="0" applyFont="1" applyFill="1" applyBorder="1" applyAlignment="1">
      <alignment horizontal="center" vertical="center"/>
    </xf>
    <xf numFmtId="0" fontId="13" fillId="10" borderId="0" xfId="0" applyFont="1" applyFill="1"/>
    <xf numFmtId="0" fontId="2" fillId="8" borderId="2" xfId="1" applyNumberFormat="1" applyFont="1" applyFill="1" applyBorder="1" applyAlignment="1">
      <alignment horizontal="left" vertical="center" indent="3"/>
    </xf>
  </cellXfs>
  <cellStyles count="2">
    <cellStyle name="Normal" xfId="0" builtinId="0"/>
    <cellStyle name="Título 1" xfId="1" builtinId="16"/>
  </cellStyles>
  <dxfs count="32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19" formatCode="dd/mm/yyyy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C44D4D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numFmt numFmtId="0" formatCode="General"/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numFmt numFmtId="0" formatCode="General"/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numFmt numFmtId="165" formatCode="\(00\)\ 00000\-0000"/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numFmt numFmtId="0" formatCode="General"/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numFmt numFmtId="1" formatCode="0"/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numFmt numFmtId="1" formatCode="0"/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numFmt numFmtId="0" formatCode="General"/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numFmt numFmtId="1" formatCode="0"/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numFmt numFmtId="0" formatCode="General"/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border outline="0">
        <top style="thick">
          <color theme="0"/>
        </top>
      </border>
    </dxf>
    <dxf>
      <font>
        <strike val="0"/>
        <outline val="0"/>
        <shadow val="0"/>
        <u val="none"/>
        <vertAlign val="baseline"/>
        <sz val="14"/>
        <color rgb="FF800000"/>
        <name val="Aptos Narrow"/>
        <family val="2"/>
        <scheme val="minor"/>
      </font>
      <fill>
        <patternFill patternType="solid">
          <fgColor indexed="64"/>
          <bgColor rgb="FFE8E6E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C44D4D"/>
        <name val="Aptos Narrow"/>
        <family val="2"/>
        <scheme val="minor"/>
      </font>
      <fill>
        <patternFill patternType="solid">
          <fgColor theme="0" tint="-0.14999847407452621"/>
          <bgColor rgb="FFE8E6E9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 style="thick">
          <color theme="0"/>
        </right>
        <top/>
        <bottom/>
      </border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C44D4D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fill>
        <patternFill>
          <bgColor theme="0"/>
        </patternFill>
      </fill>
      <border>
        <left style="thin">
          <color rgb="FFC44D4D"/>
        </left>
        <right style="thin">
          <color rgb="FFC44D4D"/>
        </right>
        <top style="thin">
          <color rgb="FFC44D4D"/>
        </top>
        <bottom style="thin">
          <color rgb="FFC44D4D"/>
        </bottom>
        <horizontal style="thin">
          <color rgb="FFC44D4D"/>
        </horizontal>
      </border>
    </dxf>
  </dxfs>
  <tableStyles count="1" defaultTableStyle="TableStyleMedium2" defaultPivotStyle="PivotStyleLight16">
    <tableStyle name="TableStyleMedium1 2" pivot="0" count="7" xr9:uid="{8FD3C27F-6BAA-4602-A100-6C019B6897BC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</tableStyles>
  <colors>
    <mruColors>
      <color rgb="FFE8E6E9"/>
      <color rgb="FFBB0B0B"/>
      <color rgb="FF800000"/>
      <color rgb="FFC44D4D"/>
      <color rgb="FFA20202"/>
      <color rgb="FFBE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Calculos!$C$1</c:f>
              <c:strCache>
                <c:ptCount val="1"/>
                <c:pt idx="0">
                  <c:v> ValorRecebido </c:v>
                </c:pt>
              </c:strCache>
            </c:strRef>
          </c:tx>
          <c:spPr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Calculos!$A$2:$A$13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Calculos!$C$2:$C$13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6-4CA0-BAE6-F79CF7242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8047023"/>
        <c:axId val="938046063"/>
      </c:barChart>
      <c:catAx>
        <c:axId val="93804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8046063"/>
        <c:crosses val="autoZero"/>
        <c:auto val="1"/>
        <c:lblAlgn val="ctr"/>
        <c:lblOffset val="100"/>
        <c:noMultiLvlLbl val="0"/>
      </c:catAx>
      <c:valAx>
        <c:axId val="938046063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804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Calculos!$C$1</c:f>
              <c:strCache>
                <c:ptCount val="1"/>
                <c:pt idx="0">
                  <c:v> ValorRecebido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Calculos!$A$2:$A$13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Calculos!$C$2:$C$13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D-4B7D-B033-8158D13A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8047023"/>
        <c:axId val="938046063"/>
      </c:barChart>
      <c:catAx>
        <c:axId val="93804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8046063"/>
        <c:crosses val="autoZero"/>
        <c:auto val="1"/>
        <c:lblAlgn val="ctr"/>
        <c:lblOffset val="100"/>
        <c:noMultiLvlLbl val="0"/>
      </c:catAx>
      <c:valAx>
        <c:axId val="938046063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804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ntrole_aulas!C3"/><Relationship Id="rId2" Type="http://schemas.openxmlformats.org/officeDocument/2006/relationships/hyperlink" Target="#Controle_Alunos!C3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#Dashboard!C3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Dashboard!C3"/><Relationship Id="rId3" Type="http://schemas.openxmlformats.org/officeDocument/2006/relationships/hyperlink" Target="#Controle_aulas!C3"/><Relationship Id="rId7" Type="http://schemas.openxmlformats.org/officeDocument/2006/relationships/image" Target="../media/image6.png"/><Relationship Id="rId2" Type="http://schemas.openxmlformats.org/officeDocument/2006/relationships/hyperlink" Target="#Controle_Alunos!C3"/><Relationship Id="rId1" Type="http://schemas.openxmlformats.org/officeDocument/2006/relationships/image" Target="../media/image1.png"/><Relationship Id="rId6" Type="http://schemas.openxmlformats.org/officeDocument/2006/relationships/hyperlink" Target="#Conte&#250;do!C3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trole_aulas!C3"/><Relationship Id="rId2" Type="http://schemas.openxmlformats.org/officeDocument/2006/relationships/hyperlink" Target="#Controle_Alunos!C3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#Dashboard!C3"/><Relationship Id="rId4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8.png"/><Relationship Id="rId7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image" Target="../media/image7.png"/><Relationship Id="rId6" Type="http://schemas.openxmlformats.org/officeDocument/2006/relationships/image" Target="../media/image2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271462</xdr:colOff>
      <xdr:row>1</xdr:row>
      <xdr:rowOff>57150</xdr:rowOff>
    </xdr:from>
    <xdr:to>
      <xdr:col>0</xdr:col>
      <xdr:colOff>1462088</xdr:colOff>
      <xdr:row>6</xdr:row>
      <xdr:rowOff>161926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441E97F-9686-473C-89A8-4168A7862D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929" t="22626" r="41818" b="32480"/>
        <a:stretch>
          <a:fillRect/>
        </a:stretch>
      </xdr:blipFill>
      <xdr:spPr>
        <a:xfrm>
          <a:off x="271462" y="247650"/>
          <a:ext cx="1190626" cy="1190626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9</xdr:row>
      <xdr:rowOff>0</xdr:rowOff>
    </xdr:from>
    <xdr:to>
      <xdr:col>0</xdr:col>
      <xdr:colOff>1676400</xdr:colOff>
      <xdr:row>11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2111D59-E841-1209-0BF4-52E052BEB072}"/>
            </a:ext>
          </a:extLst>
        </xdr:cNvPr>
        <xdr:cNvSpPr/>
      </xdr:nvSpPr>
      <xdr:spPr>
        <a:xfrm>
          <a:off x="76200" y="1943100"/>
          <a:ext cx="1600200" cy="400050"/>
        </a:xfrm>
        <a:prstGeom prst="roundRect">
          <a:avLst/>
        </a:prstGeom>
        <a:solidFill>
          <a:srgbClr val="800000"/>
        </a:solidFill>
        <a:ln>
          <a:solidFill>
            <a:srgbClr val="C44D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50" b="1"/>
            <a:t>Controle de alunos</a:t>
          </a:r>
        </a:p>
      </xdr:txBody>
    </xdr:sp>
    <xdr:clientData/>
  </xdr:twoCellAnchor>
  <xdr:twoCellAnchor editAs="absolute">
    <xdr:from>
      <xdr:col>0</xdr:col>
      <xdr:colOff>66675</xdr:colOff>
      <xdr:row>11</xdr:row>
      <xdr:rowOff>180975</xdr:rowOff>
    </xdr:from>
    <xdr:to>
      <xdr:col>0</xdr:col>
      <xdr:colOff>1666875</xdr:colOff>
      <xdr:row>14</xdr:row>
      <xdr:rowOff>9525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68E0C9-A3CA-4B05-90B5-5CD60F30CF86}"/>
            </a:ext>
          </a:extLst>
        </xdr:cNvPr>
        <xdr:cNvSpPr/>
      </xdr:nvSpPr>
      <xdr:spPr>
        <a:xfrm>
          <a:off x="66675" y="2505075"/>
          <a:ext cx="1600200" cy="400050"/>
        </a:xfrm>
        <a:prstGeom prst="roundRect">
          <a:avLst/>
        </a:prstGeom>
        <a:solidFill>
          <a:srgbClr val="C00000"/>
        </a:solidFill>
        <a:ln>
          <a:solidFill>
            <a:srgbClr val="C44D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50" b="1"/>
            <a:t>Controle de aulas</a:t>
          </a:r>
        </a:p>
      </xdr:txBody>
    </xdr:sp>
    <xdr:clientData/>
  </xdr:twoCellAnchor>
  <xdr:twoCellAnchor>
    <xdr:from>
      <xdr:col>0</xdr:col>
      <xdr:colOff>0</xdr:colOff>
      <xdr:row>0</xdr:row>
      <xdr:rowOff>76200</xdr:rowOff>
    </xdr:from>
    <xdr:to>
      <xdr:col>1</xdr:col>
      <xdr:colOff>0</xdr:colOff>
      <xdr:row>1</xdr:row>
      <xdr:rowOff>66675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1E52B1E-8318-4B77-86C9-F5E4E2D0C23E}"/>
            </a:ext>
          </a:extLst>
        </xdr:cNvPr>
        <xdr:cNvSpPr/>
      </xdr:nvSpPr>
      <xdr:spPr>
        <a:xfrm>
          <a:off x="0" y="76200"/>
          <a:ext cx="1771650" cy="180975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133350</xdr:colOff>
      <xdr:row>16</xdr:row>
      <xdr:rowOff>57150</xdr:rowOff>
    </xdr:from>
    <xdr:to>
      <xdr:col>15</xdr:col>
      <xdr:colOff>514350</xdr:colOff>
      <xdr:row>18</xdr:row>
      <xdr:rowOff>76200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23353AC-F2A2-4B90-9212-5E17B48BD31E}"/>
            </a:ext>
          </a:extLst>
        </xdr:cNvPr>
        <xdr:cNvSpPr/>
      </xdr:nvSpPr>
      <xdr:spPr>
        <a:xfrm>
          <a:off x="12211050" y="3333750"/>
          <a:ext cx="1600200" cy="400050"/>
        </a:xfrm>
        <a:prstGeom prst="roundRect">
          <a:avLst/>
        </a:prstGeom>
        <a:solidFill>
          <a:srgbClr val="BB0B0B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PRÓXIMA PÁGINA</a:t>
          </a:r>
        </a:p>
        <a:p>
          <a:pPr algn="ctr"/>
          <a:endParaRPr lang="pt-BR" sz="1400" b="1"/>
        </a:p>
        <a:p>
          <a:pPr algn="ctr"/>
          <a:endParaRPr lang="pt-BR" sz="1400" b="1"/>
        </a:p>
      </xdr:txBody>
    </xdr:sp>
    <xdr:clientData/>
  </xdr:twoCellAnchor>
  <xdr:twoCellAnchor editAs="oneCell">
    <xdr:from>
      <xdr:col>13</xdr:col>
      <xdr:colOff>247650</xdr:colOff>
      <xdr:row>7</xdr:row>
      <xdr:rowOff>66675</xdr:rowOff>
    </xdr:from>
    <xdr:to>
      <xdr:col>15</xdr:col>
      <xdr:colOff>457200</xdr:colOff>
      <xdr:row>14</xdr:row>
      <xdr:rowOff>66675</xdr:rowOff>
    </xdr:to>
    <xdr:pic macro="[0]!RegistrarAluno">
      <xdr:nvPicPr>
        <xdr:cNvPr id="9" name="Imagem 8">
          <a:extLst>
            <a:ext uri="{FF2B5EF4-FFF2-40B4-BE49-F238E27FC236}">
              <a16:creationId xmlns:a16="http://schemas.microsoft.com/office/drawing/2014/main" id="{46EEE803-6FC8-4451-B7A1-D2056CF330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971" t="25490" r="42647" b="41830"/>
        <a:stretch>
          <a:fillRect/>
        </a:stretch>
      </xdr:blipFill>
      <xdr:spPr>
        <a:xfrm>
          <a:off x="11591925" y="1533525"/>
          <a:ext cx="1428750" cy="142875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14</xdr:row>
      <xdr:rowOff>180975</xdr:rowOff>
    </xdr:from>
    <xdr:to>
      <xdr:col>0</xdr:col>
      <xdr:colOff>1666875</xdr:colOff>
      <xdr:row>17</xdr:row>
      <xdr:rowOff>9525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ED17C0F-3A92-47B6-AA48-57F2819BCC04}"/>
            </a:ext>
          </a:extLst>
        </xdr:cNvPr>
        <xdr:cNvSpPr/>
      </xdr:nvSpPr>
      <xdr:spPr>
        <a:xfrm>
          <a:off x="66675" y="3076575"/>
          <a:ext cx="1600200" cy="400050"/>
        </a:xfrm>
        <a:prstGeom prst="roundRect">
          <a:avLst/>
        </a:prstGeom>
        <a:solidFill>
          <a:srgbClr val="BB0B0B"/>
        </a:solidFill>
        <a:ln>
          <a:solidFill>
            <a:srgbClr val="C44D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50" b="1"/>
            <a:t>Dashboard</a:t>
          </a:r>
        </a:p>
      </xdr:txBody>
    </xdr:sp>
    <xdr:clientData/>
  </xdr:twoCellAnchor>
  <xdr:oneCellAnchor>
    <xdr:from>
      <xdr:col>0</xdr:col>
      <xdr:colOff>161925</xdr:colOff>
      <xdr:row>36</xdr:row>
      <xdr:rowOff>47625</xdr:rowOff>
    </xdr:from>
    <xdr:ext cx="1032399" cy="297004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194ECDE0-F514-53A9-0026-7B5E047A2E78}"/>
            </a:ext>
          </a:extLst>
        </xdr:cNvPr>
        <xdr:cNvSpPr txBox="1"/>
      </xdr:nvSpPr>
      <xdr:spPr>
        <a:xfrm>
          <a:off x="161925" y="7134225"/>
          <a:ext cx="1032399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Bem vinda, </a:t>
          </a:r>
        </a:p>
      </xdr:txBody>
    </xdr:sp>
    <xdr:clientData/>
  </xdr:oneCellAnchor>
  <xdr:twoCellAnchor editAs="oneCell">
    <xdr:from>
      <xdr:col>0</xdr:col>
      <xdr:colOff>400050</xdr:colOff>
      <xdr:row>37</xdr:row>
      <xdr:rowOff>161925</xdr:rowOff>
    </xdr:from>
    <xdr:to>
      <xdr:col>0</xdr:col>
      <xdr:colOff>1362075</xdr:colOff>
      <xdr:row>42</xdr:row>
      <xdr:rowOff>41006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27BA7468-0392-427B-A82A-AC33376A51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01" t="10001" r="30088" b="17143"/>
        <a:stretch>
          <a:fillRect/>
        </a:stretch>
      </xdr:blipFill>
      <xdr:spPr>
        <a:xfrm>
          <a:off x="400050" y="7439025"/>
          <a:ext cx="962025" cy="8315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41</xdr:row>
      <xdr:rowOff>133350</xdr:rowOff>
    </xdr:from>
    <xdr:to>
      <xdr:col>1</xdr:col>
      <xdr:colOff>0</xdr:colOff>
      <xdr:row>42</xdr:row>
      <xdr:rowOff>123825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C45B604-4DB8-4640-889F-5FFD64DED1E5}"/>
            </a:ext>
          </a:extLst>
        </xdr:cNvPr>
        <xdr:cNvSpPr/>
      </xdr:nvSpPr>
      <xdr:spPr>
        <a:xfrm>
          <a:off x="0" y="8172450"/>
          <a:ext cx="1771650" cy="180975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161925</xdr:rowOff>
    </xdr:from>
    <xdr:to>
      <xdr:col>1</xdr:col>
      <xdr:colOff>0</xdr:colOff>
      <xdr:row>29</xdr:row>
      <xdr:rowOff>152400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870383A-C04A-4FC6-AE9C-0F675D9DC300}"/>
            </a:ext>
          </a:extLst>
        </xdr:cNvPr>
        <xdr:cNvSpPr/>
      </xdr:nvSpPr>
      <xdr:spPr>
        <a:xfrm>
          <a:off x="0" y="8058150"/>
          <a:ext cx="1771650" cy="180975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1</xdr:col>
      <xdr:colOff>0</xdr:colOff>
      <xdr:row>14</xdr:row>
      <xdr:rowOff>180975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46EC88CC-1348-42C8-AAE1-A1BD3821C12F}"/>
            </a:ext>
          </a:extLst>
        </xdr:cNvPr>
        <xdr:cNvSpPr/>
      </xdr:nvSpPr>
      <xdr:spPr>
        <a:xfrm>
          <a:off x="0" y="3800475"/>
          <a:ext cx="1771650" cy="180975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228600</xdr:rowOff>
    </xdr:from>
    <xdr:to>
      <xdr:col>1</xdr:col>
      <xdr:colOff>0</xdr:colOff>
      <xdr:row>12</xdr:row>
      <xdr:rowOff>171450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96503FE1-142E-44CA-93AD-8D3CF4B05095}"/>
            </a:ext>
          </a:extLst>
        </xdr:cNvPr>
        <xdr:cNvSpPr/>
      </xdr:nvSpPr>
      <xdr:spPr>
        <a:xfrm>
          <a:off x="0" y="3028950"/>
          <a:ext cx="1771650" cy="276225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271462</xdr:colOff>
      <xdr:row>1</xdr:row>
      <xdr:rowOff>57150</xdr:rowOff>
    </xdr:from>
    <xdr:to>
      <xdr:col>0</xdr:col>
      <xdr:colOff>1462088</xdr:colOff>
      <xdr:row>6</xdr:row>
      <xdr:rowOff>161926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D391BDA-2880-43E1-B18D-9D898E7681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929" t="22626" r="41818" b="32480"/>
        <a:stretch>
          <a:fillRect/>
        </a:stretch>
      </xdr:blipFill>
      <xdr:spPr>
        <a:xfrm>
          <a:off x="271462" y="247650"/>
          <a:ext cx="1190626" cy="1190626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8</xdr:row>
      <xdr:rowOff>47625</xdr:rowOff>
    </xdr:from>
    <xdr:to>
      <xdr:col>0</xdr:col>
      <xdr:colOff>1676400</xdr:colOff>
      <xdr:row>9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AD2D6D3-DC36-480D-BC60-E2CBD6CE4CB7}"/>
            </a:ext>
          </a:extLst>
        </xdr:cNvPr>
        <xdr:cNvSpPr/>
      </xdr:nvSpPr>
      <xdr:spPr>
        <a:xfrm>
          <a:off x="76200" y="1943100"/>
          <a:ext cx="1600200" cy="400050"/>
        </a:xfrm>
        <a:prstGeom prst="roundRect">
          <a:avLst/>
        </a:prstGeom>
        <a:solidFill>
          <a:srgbClr val="BB0B0B"/>
        </a:solidFill>
        <a:ln>
          <a:solidFill>
            <a:srgbClr val="C44D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50" b="1"/>
            <a:t>Controle de alunos</a:t>
          </a:r>
        </a:p>
      </xdr:txBody>
    </xdr:sp>
    <xdr:clientData/>
  </xdr:twoCellAnchor>
  <xdr:twoCellAnchor editAs="absolute">
    <xdr:from>
      <xdr:col>0</xdr:col>
      <xdr:colOff>66675</xdr:colOff>
      <xdr:row>9</xdr:row>
      <xdr:rowOff>133350</xdr:rowOff>
    </xdr:from>
    <xdr:to>
      <xdr:col>0</xdr:col>
      <xdr:colOff>1666875</xdr:colOff>
      <xdr:row>10</xdr:row>
      <xdr:rowOff>104775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D8A03EB-74F3-4260-AA54-08F7DD8E16C6}"/>
            </a:ext>
          </a:extLst>
        </xdr:cNvPr>
        <xdr:cNvSpPr/>
      </xdr:nvSpPr>
      <xdr:spPr>
        <a:xfrm>
          <a:off x="66675" y="2505075"/>
          <a:ext cx="1600200" cy="400050"/>
        </a:xfrm>
        <a:prstGeom prst="roundRect">
          <a:avLst/>
        </a:prstGeom>
        <a:solidFill>
          <a:srgbClr val="800000"/>
        </a:solidFill>
        <a:ln>
          <a:solidFill>
            <a:srgbClr val="C44D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50" b="1"/>
            <a:t>Controle de aulas</a:t>
          </a:r>
        </a:p>
      </xdr:txBody>
    </xdr:sp>
    <xdr:clientData/>
  </xdr:twoCellAnchor>
  <xdr:twoCellAnchor editAs="absolute">
    <xdr:from>
      <xdr:col>0</xdr:col>
      <xdr:colOff>66675</xdr:colOff>
      <xdr:row>14</xdr:row>
      <xdr:rowOff>190500</xdr:rowOff>
    </xdr:from>
    <xdr:to>
      <xdr:col>0</xdr:col>
      <xdr:colOff>1666875</xdr:colOff>
      <xdr:row>15</xdr:row>
      <xdr:rowOff>209550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CBFDE7C-D5BB-42B2-8CBF-39577CEC7042}"/>
            </a:ext>
          </a:extLst>
        </xdr:cNvPr>
        <xdr:cNvSpPr/>
      </xdr:nvSpPr>
      <xdr:spPr>
        <a:xfrm>
          <a:off x="66675" y="4276725"/>
          <a:ext cx="1600200" cy="400050"/>
        </a:xfrm>
        <a:prstGeom prst="roundRect">
          <a:avLst/>
        </a:prstGeom>
        <a:solidFill>
          <a:srgbClr val="BB0B0B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Selecionar aluno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0</xdr:col>
      <xdr:colOff>1476375</xdr:colOff>
      <xdr:row>16</xdr:row>
      <xdr:rowOff>66675</xdr:rowOff>
    </xdr:from>
    <xdr:to>
      <xdr:col>0</xdr:col>
      <xdr:colOff>1714500</xdr:colOff>
      <xdr:row>16</xdr:row>
      <xdr:rowOff>304800</xdr:rowOff>
    </xdr:to>
    <xdr:pic>
      <xdr:nvPicPr>
        <xdr:cNvPr id="8" name="Gráfico 7" descr="Lupa com preenchimento sólido">
          <a:extLst>
            <a:ext uri="{FF2B5EF4-FFF2-40B4-BE49-F238E27FC236}">
              <a16:creationId xmlns:a16="http://schemas.microsoft.com/office/drawing/2014/main" id="{EF8DF9AF-34C1-4929-AC87-82C473F9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76375" y="4533900"/>
          <a:ext cx="238125" cy="2381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76200</xdr:rowOff>
    </xdr:from>
    <xdr:to>
      <xdr:col>1</xdr:col>
      <xdr:colOff>0</xdr:colOff>
      <xdr:row>1</xdr:row>
      <xdr:rowOff>66675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6E17B51A-499C-4E79-9E58-AD1D5BC0112B}"/>
            </a:ext>
          </a:extLst>
        </xdr:cNvPr>
        <xdr:cNvSpPr/>
      </xdr:nvSpPr>
      <xdr:spPr>
        <a:xfrm>
          <a:off x="0" y="76200"/>
          <a:ext cx="1771650" cy="180975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12</xdr:col>
      <xdr:colOff>95250</xdr:colOff>
      <xdr:row>20</xdr:row>
      <xdr:rowOff>66675</xdr:rowOff>
    </xdr:from>
    <xdr:to>
      <xdr:col>14</xdr:col>
      <xdr:colOff>28575</xdr:colOff>
      <xdr:row>22</xdr:row>
      <xdr:rowOff>85725</xdr:rowOff>
    </xdr:to>
    <xdr:sp macro="" textlink="">
      <xdr:nvSpPr>
        <xdr:cNvPr id="12" name="Retângulo: Cantos Arredondado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3BD7F2E-81A7-4E13-A107-ED3A67AB4B8E}"/>
            </a:ext>
          </a:extLst>
        </xdr:cNvPr>
        <xdr:cNvSpPr/>
      </xdr:nvSpPr>
      <xdr:spPr>
        <a:xfrm>
          <a:off x="12649200" y="6438900"/>
          <a:ext cx="1600200" cy="400050"/>
        </a:xfrm>
        <a:prstGeom prst="roundRect">
          <a:avLst/>
        </a:prstGeom>
        <a:solidFill>
          <a:srgbClr val="BB0B0B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PRÓXIMA PÁGINA</a:t>
          </a:r>
        </a:p>
        <a:p>
          <a:pPr algn="ctr"/>
          <a:endParaRPr lang="pt-BR" sz="1400" b="1"/>
        </a:p>
        <a:p>
          <a:pPr algn="ctr"/>
          <a:endParaRPr lang="pt-BR" sz="1400" b="1"/>
        </a:p>
      </xdr:txBody>
    </xdr:sp>
    <xdr:clientData/>
  </xdr:twoCellAnchor>
  <xdr:twoCellAnchor editAs="absolute">
    <xdr:from>
      <xdr:col>1</xdr:col>
      <xdr:colOff>581025</xdr:colOff>
      <xdr:row>20</xdr:row>
      <xdr:rowOff>104775</xdr:rowOff>
    </xdr:from>
    <xdr:to>
      <xdr:col>3</xdr:col>
      <xdr:colOff>485775</xdr:colOff>
      <xdr:row>22</xdr:row>
      <xdr:rowOff>123825</xdr:rowOff>
    </xdr:to>
    <xdr:sp macro="" textlink="">
      <xdr:nvSpPr>
        <xdr:cNvPr id="13" name="Retângulo: Cantos Arredondados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666BB84-9D09-4800-9CEA-3BC8267A6CE2}"/>
            </a:ext>
          </a:extLst>
        </xdr:cNvPr>
        <xdr:cNvSpPr/>
      </xdr:nvSpPr>
      <xdr:spPr>
        <a:xfrm>
          <a:off x="2352675" y="6477000"/>
          <a:ext cx="1600200" cy="400050"/>
        </a:xfrm>
        <a:prstGeom prst="roundRect">
          <a:avLst/>
        </a:prstGeom>
        <a:solidFill>
          <a:srgbClr val="BB0B0B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PÁGINA ANTERIOR</a:t>
          </a:r>
        </a:p>
        <a:p>
          <a:pPr algn="ctr"/>
          <a:endParaRPr lang="pt-BR" sz="1400" b="1"/>
        </a:p>
      </xdr:txBody>
    </xdr:sp>
    <xdr:clientData/>
  </xdr:twoCellAnchor>
  <xdr:twoCellAnchor editAs="oneCell">
    <xdr:from>
      <xdr:col>14</xdr:col>
      <xdr:colOff>238124</xdr:colOff>
      <xdr:row>16</xdr:row>
      <xdr:rowOff>87078</xdr:rowOff>
    </xdr:from>
    <xdr:to>
      <xdr:col>15</xdr:col>
      <xdr:colOff>720373</xdr:colOff>
      <xdr:row>19</xdr:row>
      <xdr:rowOff>95250</xdr:rowOff>
    </xdr:to>
    <xdr:pic macro="[0]!AdicionarAula">
      <xdr:nvPicPr>
        <xdr:cNvPr id="14" name="Imagem 13">
          <a:extLst>
            <a:ext uri="{FF2B5EF4-FFF2-40B4-BE49-F238E27FC236}">
              <a16:creationId xmlns:a16="http://schemas.microsoft.com/office/drawing/2014/main" id="{0DEB25DF-CFD0-4C78-93F3-5AA235CA20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132" t="30501" r="42157" b="35948"/>
        <a:stretch>
          <a:fillRect/>
        </a:stretch>
      </xdr:blipFill>
      <xdr:spPr>
        <a:xfrm>
          <a:off x="14458949" y="4554303"/>
          <a:ext cx="1263299" cy="1151172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10</xdr:row>
      <xdr:rowOff>228600</xdr:rowOff>
    </xdr:from>
    <xdr:to>
      <xdr:col>0</xdr:col>
      <xdr:colOff>1666875</xdr:colOff>
      <xdr:row>11</xdr:row>
      <xdr:rowOff>247650</xdr:rowOff>
    </xdr:to>
    <xdr:sp macro="" textlink="">
      <xdr:nvSpPr>
        <xdr:cNvPr id="6" name="Retângulo: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5A6E8DB-DE5A-462F-BB66-A04BBC7F490E}"/>
            </a:ext>
          </a:extLst>
        </xdr:cNvPr>
        <xdr:cNvSpPr/>
      </xdr:nvSpPr>
      <xdr:spPr>
        <a:xfrm>
          <a:off x="66675" y="2790825"/>
          <a:ext cx="1600200" cy="400050"/>
        </a:xfrm>
        <a:prstGeom prst="roundRect">
          <a:avLst/>
        </a:prstGeom>
        <a:solidFill>
          <a:srgbClr val="BB0B0B"/>
        </a:solidFill>
        <a:ln>
          <a:solidFill>
            <a:srgbClr val="C44D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50" b="1"/>
            <a:t>Dashboard</a:t>
          </a:r>
        </a:p>
      </xdr:txBody>
    </xdr:sp>
    <xdr:clientData/>
  </xdr:twoCellAnchor>
  <xdr:oneCellAnchor>
    <xdr:from>
      <xdr:col>0</xdr:col>
      <xdr:colOff>161925</xdr:colOff>
      <xdr:row>24</xdr:row>
      <xdr:rowOff>0</xdr:rowOff>
    </xdr:from>
    <xdr:ext cx="1032399" cy="297004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B081664B-0C54-4E88-95B4-FAE36E461C9D}"/>
            </a:ext>
          </a:extLst>
        </xdr:cNvPr>
        <xdr:cNvSpPr txBox="1"/>
      </xdr:nvSpPr>
      <xdr:spPr>
        <a:xfrm>
          <a:off x="161925" y="7134225"/>
          <a:ext cx="1032399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Bem vinda, </a:t>
          </a:r>
        </a:p>
      </xdr:txBody>
    </xdr:sp>
    <xdr:clientData/>
  </xdr:oneCellAnchor>
  <xdr:twoCellAnchor editAs="oneCell">
    <xdr:from>
      <xdr:col>0</xdr:col>
      <xdr:colOff>400050</xdr:colOff>
      <xdr:row>25</xdr:row>
      <xdr:rowOff>114300</xdr:rowOff>
    </xdr:from>
    <xdr:to>
      <xdr:col>0</xdr:col>
      <xdr:colOff>1362075</xdr:colOff>
      <xdr:row>29</xdr:row>
      <xdr:rowOff>183881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C196DAB5-7BE4-4B77-922D-E9D598802A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01" t="10001" r="30088" b="17143"/>
        <a:stretch>
          <a:fillRect/>
        </a:stretch>
      </xdr:blipFill>
      <xdr:spPr>
        <a:xfrm>
          <a:off x="400050" y="7439025"/>
          <a:ext cx="962025" cy="8315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29</xdr:row>
      <xdr:rowOff>85725</xdr:rowOff>
    </xdr:from>
    <xdr:to>
      <xdr:col>1</xdr:col>
      <xdr:colOff>0</xdr:colOff>
      <xdr:row>30</xdr:row>
      <xdr:rowOff>76200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D576CD4D-F303-4D9E-A6EE-CC43BA2876F8}"/>
            </a:ext>
          </a:extLst>
        </xdr:cNvPr>
        <xdr:cNvSpPr/>
      </xdr:nvSpPr>
      <xdr:spPr>
        <a:xfrm>
          <a:off x="0" y="8172450"/>
          <a:ext cx="1771650" cy="180975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271462</xdr:colOff>
      <xdr:row>1</xdr:row>
      <xdr:rowOff>57150</xdr:rowOff>
    </xdr:from>
    <xdr:to>
      <xdr:col>0</xdr:col>
      <xdr:colOff>1462088</xdr:colOff>
      <xdr:row>6</xdr:row>
      <xdr:rowOff>161926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0F08513-6FD9-4F90-9D82-CFE3534343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929" t="22626" r="41818" b="32480"/>
        <a:stretch>
          <a:fillRect/>
        </a:stretch>
      </xdr:blipFill>
      <xdr:spPr>
        <a:xfrm>
          <a:off x="271462" y="247650"/>
          <a:ext cx="1190626" cy="1190626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9</xdr:row>
      <xdr:rowOff>0</xdr:rowOff>
    </xdr:from>
    <xdr:to>
      <xdr:col>0</xdr:col>
      <xdr:colOff>1676400</xdr:colOff>
      <xdr:row>10</xdr:row>
      <xdr:rowOff>161925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DCC89E8-2C1B-4A0F-B27A-761BB72D6095}"/>
            </a:ext>
          </a:extLst>
        </xdr:cNvPr>
        <xdr:cNvSpPr/>
      </xdr:nvSpPr>
      <xdr:spPr>
        <a:xfrm>
          <a:off x="76200" y="1943100"/>
          <a:ext cx="1600200" cy="400050"/>
        </a:xfrm>
        <a:prstGeom prst="roundRect">
          <a:avLst/>
        </a:prstGeom>
        <a:solidFill>
          <a:srgbClr val="BB0B0B"/>
        </a:solidFill>
        <a:ln>
          <a:solidFill>
            <a:srgbClr val="C44D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50" b="1"/>
            <a:t>Controle de alunos</a:t>
          </a:r>
        </a:p>
      </xdr:txBody>
    </xdr:sp>
    <xdr:clientData/>
  </xdr:twoCellAnchor>
  <xdr:twoCellAnchor editAs="absolute">
    <xdr:from>
      <xdr:col>0</xdr:col>
      <xdr:colOff>66675</xdr:colOff>
      <xdr:row>11</xdr:row>
      <xdr:rowOff>133350</xdr:rowOff>
    </xdr:from>
    <xdr:to>
      <xdr:col>0</xdr:col>
      <xdr:colOff>1666875</xdr:colOff>
      <xdr:row>13</xdr:row>
      <xdr:rowOff>152400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FDA85F3-C2C9-4462-9F6F-5CB9B38D8844}"/>
            </a:ext>
          </a:extLst>
        </xdr:cNvPr>
        <xdr:cNvSpPr/>
      </xdr:nvSpPr>
      <xdr:spPr>
        <a:xfrm>
          <a:off x="66675" y="2505075"/>
          <a:ext cx="1600200" cy="400050"/>
        </a:xfrm>
        <a:prstGeom prst="roundRect">
          <a:avLst/>
        </a:prstGeom>
        <a:solidFill>
          <a:srgbClr val="C00000"/>
        </a:solidFill>
        <a:ln>
          <a:solidFill>
            <a:srgbClr val="C44D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50" b="1"/>
            <a:t>Controle de aulas</a:t>
          </a:r>
        </a:p>
      </xdr:txBody>
    </xdr:sp>
    <xdr:clientData/>
  </xdr:twoCellAnchor>
  <xdr:twoCellAnchor>
    <xdr:from>
      <xdr:col>0</xdr:col>
      <xdr:colOff>0</xdr:colOff>
      <xdr:row>0</xdr:row>
      <xdr:rowOff>76200</xdr:rowOff>
    </xdr:from>
    <xdr:to>
      <xdr:col>1</xdr:col>
      <xdr:colOff>0</xdr:colOff>
      <xdr:row>1</xdr:row>
      <xdr:rowOff>66675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E1DA880-CEB3-4672-A98D-580DDA9EB92A}"/>
            </a:ext>
          </a:extLst>
        </xdr:cNvPr>
        <xdr:cNvSpPr/>
      </xdr:nvSpPr>
      <xdr:spPr>
        <a:xfrm>
          <a:off x="0" y="76200"/>
          <a:ext cx="1771650" cy="180975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85725</xdr:colOff>
      <xdr:row>32</xdr:row>
      <xdr:rowOff>142875</xdr:rowOff>
    </xdr:from>
    <xdr:to>
      <xdr:col>0</xdr:col>
      <xdr:colOff>1685925</xdr:colOff>
      <xdr:row>34</xdr:row>
      <xdr:rowOff>161925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623749A-C691-4C88-B992-DAA3D75F1F88}"/>
            </a:ext>
          </a:extLst>
        </xdr:cNvPr>
        <xdr:cNvSpPr/>
      </xdr:nvSpPr>
      <xdr:spPr>
        <a:xfrm>
          <a:off x="85725" y="6515100"/>
          <a:ext cx="1600200" cy="400050"/>
        </a:xfrm>
        <a:prstGeom prst="roundRect">
          <a:avLst/>
        </a:prstGeom>
        <a:solidFill>
          <a:srgbClr val="BB0B0B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PÁGINA</a:t>
          </a:r>
          <a:r>
            <a:rPr lang="pt-BR" sz="1400" b="1" baseline="0"/>
            <a:t> ANTERIOR</a:t>
          </a:r>
          <a:endParaRPr lang="pt-BR" sz="1400" b="1"/>
        </a:p>
        <a:p>
          <a:pPr algn="ctr"/>
          <a:endParaRPr lang="pt-BR" sz="1400" b="1"/>
        </a:p>
        <a:p>
          <a:pPr algn="ctr"/>
          <a:endParaRPr lang="pt-BR" sz="1400" b="1"/>
        </a:p>
      </xdr:txBody>
    </xdr:sp>
    <xdr:clientData/>
  </xdr:twoCellAnchor>
  <xdr:twoCellAnchor>
    <xdr:from>
      <xdr:col>3</xdr:col>
      <xdr:colOff>247650</xdr:colOff>
      <xdr:row>5</xdr:row>
      <xdr:rowOff>95250</xdr:rowOff>
    </xdr:from>
    <xdr:to>
      <xdr:col>7</xdr:col>
      <xdr:colOff>600075</xdr:colOff>
      <xdr:row>13</xdr:row>
      <xdr:rowOff>57150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10474FBB-0473-EE5C-72BF-2FC38F3F40C7}"/>
            </a:ext>
          </a:extLst>
        </xdr:cNvPr>
        <xdr:cNvGrpSpPr/>
      </xdr:nvGrpSpPr>
      <xdr:grpSpPr>
        <a:xfrm>
          <a:off x="2714625" y="1181100"/>
          <a:ext cx="4067175" cy="1628775"/>
          <a:chOff x="2714625" y="1181100"/>
          <a:chExt cx="4067175" cy="1628775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DE8AB24E-9F15-2CA1-B506-67175A08A38D}"/>
              </a:ext>
            </a:extLst>
          </xdr:cNvPr>
          <xdr:cNvSpPr/>
        </xdr:nvSpPr>
        <xdr:spPr>
          <a:xfrm>
            <a:off x="2714626" y="1240440"/>
            <a:ext cx="4054924" cy="1569435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rgbClr val="2AE6B1"/>
              </a:solidFill>
            </a:endParaRPr>
          </a:p>
        </xdr:txBody>
      </xdr:sp>
      <xdr:sp macro="" textlink="Calculos!G4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9D2AAD2-070F-0E3C-908C-596534E4540D}"/>
              </a:ext>
            </a:extLst>
          </xdr:cNvPr>
          <xdr:cNvSpPr/>
        </xdr:nvSpPr>
        <xdr:spPr>
          <a:xfrm>
            <a:off x="3517413" y="1621002"/>
            <a:ext cx="2449350" cy="808311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19CA9A0-83FF-4473-B2B5-F899070309CB}" type="TxLink">
              <a:rPr lang="en-US" sz="2800" b="0" i="0" u="none" strike="noStrike">
                <a:solidFill>
                  <a:srgbClr val="FF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 R$ -   </a:t>
            </a:fld>
            <a:endParaRPr lang="pt-BR" sz="5400" b="1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12" name="Retângulo: Cantos Superiores, Um Arredondado e Um Recortado 11">
            <a:extLst>
              <a:ext uri="{FF2B5EF4-FFF2-40B4-BE49-F238E27FC236}">
                <a16:creationId xmlns:a16="http://schemas.microsoft.com/office/drawing/2014/main" id="{1ABD12C6-09DB-B996-D0BC-48D5E6786582}"/>
              </a:ext>
            </a:extLst>
          </xdr:cNvPr>
          <xdr:cNvSpPr/>
        </xdr:nvSpPr>
        <xdr:spPr>
          <a:xfrm>
            <a:off x="2714625" y="1181100"/>
            <a:ext cx="4067175" cy="409575"/>
          </a:xfrm>
          <a:prstGeom prst="snipRoundRect">
            <a:avLst/>
          </a:prstGeom>
          <a:solidFill>
            <a:srgbClr val="C44D4D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VALOR ESPERADO ESSE MÊS</a:t>
            </a:r>
          </a:p>
        </xdr:txBody>
      </xdr:sp>
    </xdr:grpSp>
    <xdr:clientData/>
  </xdr:twoCellAnchor>
  <xdr:twoCellAnchor>
    <xdr:from>
      <xdr:col>7</xdr:col>
      <xdr:colOff>1238251</xdr:colOff>
      <xdr:row>5</xdr:row>
      <xdr:rowOff>154590</xdr:rowOff>
    </xdr:from>
    <xdr:to>
      <xdr:col>11</xdr:col>
      <xdr:colOff>530675</xdr:colOff>
      <xdr:row>13</xdr:row>
      <xdr:rowOff>57150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AAE0401-388C-A749-6C83-CFC67B82B67A}"/>
            </a:ext>
          </a:extLst>
        </xdr:cNvPr>
        <xdr:cNvSpPr/>
      </xdr:nvSpPr>
      <xdr:spPr>
        <a:xfrm>
          <a:off x="7419976" y="1240440"/>
          <a:ext cx="4054924" cy="156943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2AE6B1"/>
            </a:solidFill>
          </a:endParaRPr>
        </a:p>
      </xdr:txBody>
    </xdr:sp>
    <xdr:clientData/>
  </xdr:twoCellAnchor>
  <xdr:twoCellAnchor>
    <xdr:from>
      <xdr:col>8</xdr:col>
      <xdr:colOff>517038</xdr:colOff>
      <xdr:row>7</xdr:row>
      <xdr:rowOff>154152</xdr:rowOff>
    </xdr:from>
    <xdr:to>
      <xdr:col>10</xdr:col>
      <xdr:colOff>585138</xdr:colOff>
      <xdr:row>11</xdr:row>
      <xdr:rowOff>57588</xdr:rowOff>
    </xdr:to>
    <xdr:sp macro="" textlink="Calculos!G8">
      <xdr:nvSpPr>
        <xdr:cNvPr id="16" name="Retângulo: Cantos Arredondados 15">
          <a:extLst>
            <a:ext uri="{FF2B5EF4-FFF2-40B4-BE49-F238E27FC236}">
              <a16:creationId xmlns:a16="http://schemas.microsoft.com/office/drawing/2014/main" id="{561D17B0-9191-533E-33D3-415F182DE400}"/>
            </a:ext>
          </a:extLst>
        </xdr:cNvPr>
        <xdr:cNvSpPr/>
      </xdr:nvSpPr>
      <xdr:spPr>
        <a:xfrm>
          <a:off x="8222763" y="1621002"/>
          <a:ext cx="2449350" cy="80831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55A8426-8F20-45A1-AEE3-4F1C173EB761}" type="TxLink">
            <a:rPr lang="en-US" sz="2800" b="0" i="0" u="none" strike="noStrike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0</a:t>
          </a:fld>
          <a:endParaRPr lang="pt-BR" sz="2800" b="1">
            <a:solidFill>
              <a:srgbClr val="FF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1238250</xdr:colOff>
      <xdr:row>5</xdr:row>
      <xdr:rowOff>95250</xdr:rowOff>
    </xdr:from>
    <xdr:to>
      <xdr:col>11</xdr:col>
      <xdr:colOff>542925</xdr:colOff>
      <xdr:row>7</xdr:row>
      <xdr:rowOff>123825</xdr:rowOff>
    </xdr:to>
    <xdr:sp macro="" textlink="">
      <xdr:nvSpPr>
        <xdr:cNvPr id="17" name="Retângulo: Cantos Superiores, Um Arredondado e Um Recortado 16">
          <a:extLst>
            <a:ext uri="{FF2B5EF4-FFF2-40B4-BE49-F238E27FC236}">
              <a16:creationId xmlns:a16="http://schemas.microsoft.com/office/drawing/2014/main" id="{303AC330-0A84-1FC3-2354-E7C9D1FA4BCF}"/>
            </a:ext>
          </a:extLst>
        </xdr:cNvPr>
        <xdr:cNvSpPr/>
      </xdr:nvSpPr>
      <xdr:spPr>
        <a:xfrm>
          <a:off x="7419975" y="1181100"/>
          <a:ext cx="4067175" cy="409575"/>
        </a:xfrm>
        <a:prstGeom prst="snipRoundRect">
          <a:avLst/>
        </a:prstGeom>
        <a:solidFill>
          <a:srgbClr val="C44D4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ALUNOS ATIVOS</a:t>
          </a:r>
        </a:p>
      </xdr:txBody>
    </xdr:sp>
    <xdr:clientData/>
  </xdr:twoCellAnchor>
  <xdr:twoCellAnchor>
    <xdr:from>
      <xdr:col>1</xdr:col>
      <xdr:colOff>676275</xdr:colOff>
      <xdr:row>15</xdr:row>
      <xdr:rowOff>142876</xdr:rowOff>
    </xdr:from>
    <xdr:to>
      <xdr:col>7</xdr:col>
      <xdr:colOff>1009650</xdr:colOff>
      <xdr:row>34</xdr:row>
      <xdr:rowOff>9525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96F43F0-A218-1C8D-D6AB-38B307894287}"/>
            </a:ext>
          </a:extLst>
        </xdr:cNvPr>
        <xdr:cNvGrpSpPr/>
      </xdr:nvGrpSpPr>
      <xdr:grpSpPr>
        <a:xfrm>
          <a:off x="2447925" y="3276601"/>
          <a:ext cx="4743450" cy="3486149"/>
          <a:chOff x="2781300" y="3248026"/>
          <a:chExt cx="4743450" cy="3486149"/>
        </a:xfrm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553E5FDA-FD6F-F09E-B4BB-1B960585F0B8}"/>
              </a:ext>
            </a:extLst>
          </xdr:cNvPr>
          <xdr:cNvSpPr/>
        </xdr:nvSpPr>
        <xdr:spPr>
          <a:xfrm>
            <a:off x="2781300" y="3305175"/>
            <a:ext cx="4743450" cy="3429000"/>
          </a:xfrm>
          <a:prstGeom prst="roundRect">
            <a:avLst/>
          </a:prstGeom>
          <a:solidFill>
            <a:schemeClr val="bg1"/>
          </a:solidFill>
          <a:ln>
            <a:solidFill>
              <a:srgbClr val="E8E6E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18" name="Gráfico 17">
            <a:extLst>
              <a:ext uri="{FF2B5EF4-FFF2-40B4-BE49-F238E27FC236}">
                <a16:creationId xmlns:a16="http://schemas.microsoft.com/office/drawing/2014/main" id="{4C79E7A5-BF1E-44A4-B059-FC5F7C163658}"/>
              </a:ext>
            </a:extLst>
          </xdr:cNvPr>
          <xdr:cNvGraphicFramePr>
            <a:graphicFrameLocks/>
          </xdr:cNvGraphicFramePr>
        </xdr:nvGraphicFramePr>
        <xdr:xfrm>
          <a:off x="2847975" y="375285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0" name="Retângulo: Cantos Superiores, Um Arredondado e Um Recortado 19">
            <a:extLst>
              <a:ext uri="{FF2B5EF4-FFF2-40B4-BE49-F238E27FC236}">
                <a16:creationId xmlns:a16="http://schemas.microsoft.com/office/drawing/2014/main" id="{F923FDE2-E426-4B1B-991E-D5625841C101}"/>
              </a:ext>
            </a:extLst>
          </xdr:cNvPr>
          <xdr:cNvSpPr/>
        </xdr:nvSpPr>
        <xdr:spPr>
          <a:xfrm>
            <a:off x="2790825" y="3248026"/>
            <a:ext cx="4724400" cy="514350"/>
          </a:xfrm>
          <a:prstGeom prst="snipRoundRect">
            <a:avLst/>
          </a:prstGeom>
          <a:solidFill>
            <a:srgbClr val="C44D4D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VALOR</a:t>
            </a:r>
            <a:r>
              <a:rPr lang="pt-BR" sz="16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RECEBIDO POR MÊS</a:t>
            </a:r>
            <a:endParaRPr lang="pt-BR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57150</xdr:colOff>
      <xdr:row>14</xdr:row>
      <xdr:rowOff>114300</xdr:rowOff>
    </xdr:from>
    <xdr:to>
      <xdr:col>0</xdr:col>
      <xdr:colOff>1657350</xdr:colOff>
      <xdr:row>16</xdr:row>
      <xdr:rowOff>133350</xdr:rowOff>
    </xdr:to>
    <xdr:sp macro="" textlink="">
      <xdr:nvSpPr>
        <xdr:cNvPr id="22" name="Retângulo: Cantos Arredondados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4B0C15-2F11-4747-8CCA-F19C19D30439}"/>
            </a:ext>
          </a:extLst>
        </xdr:cNvPr>
        <xdr:cNvSpPr/>
      </xdr:nvSpPr>
      <xdr:spPr>
        <a:xfrm>
          <a:off x="57150" y="3057525"/>
          <a:ext cx="1600200" cy="400050"/>
        </a:xfrm>
        <a:prstGeom prst="roundRect">
          <a:avLst/>
        </a:prstGeom>
        <a:solidFill>
          <a:srgbClr val="800000"/>
        </a:solidFill>
        <a:ln>
          <a:solidFill>
            <a:srgbClr val="C44D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50" b="1"/>
            <a:t>Dashboard</a:t>
          </a:r>
        </a:p>
      </xdr:txBody>
    </xdr:sp>
    <xdr:clientData/>
  </xdr:twoCellAnchor>
  <xdr:oneCellAnchor>
    <xdr:from>
      <xdr:col>0</xdr:col>
      <xdr:colOff>161925</xdr:colOff>
      <xdr:row>36</xdr:row>
      <xdr:rowOff>0</xdr:rowOff>
    </xdr:from>
    <xdr:ext cx="1032399" cy="297004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CD89E897-BBD8-46AF-AD20-01623F99112A}"/>
            </a:ext>
          </a:extLst>
        </xdr:cNvPr>
        <xdr:cNvSpPr txBox="1"/>
      </xdr:nvSpPr>
      <xdr:spPr>
        <a:xfrm>
          <a:off x="161925" y="7134225"/>
          <a:ext cx="1032399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Bem vinda, </a:t>
          </a:r>
        </a:p>
      </xdr:txBody>
    </xdr:sp>
    <xdr:clientData/>
  </xdr:oneCellAnchor>
  <xdr:twoCellAnchor editAs="oneCell">
    <xdr:from>
      <xdr:col>0</xdr:col>
      <xdr:colOff>400050</xdr:colOff>
      <xdr:row>37</xdr:row>
      <xdr:rowOff>111393</xdr:rowOff>
    </xdr:from>
    <xdr:to>
      <xdr:col>0</xdr:col>
      <xdr:colOff>1362075</xdr:colOff>
      <xdr:row>41</xdr:row>
      <xdr:rowOff>180974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8108A287-3AF7-4DE7-8C55-C1F42C5AC4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01" t="10001" r="30088" b="17143"/>
        <a:stretch>
          <a:fillRect/>
        </a:stretch>
      </xdr:blipFill>
      <xdr:spPr>
        <a:xfrm>
          <a:off x="400050" y="7436118"/>
          <a:ext cx="962025" cy="8315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41</xdr:row>
      <xdr:rowOff>76200</xdr:rowOff>
    </xdr:from>
    <xdr:to>
      <xdr:col>1</xdr:col>
      <xdr:colOff>0</xdr:colOff>
      <xdr:row>42</xdr:row>
      <xdr:rowOff>66675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1983B814-A4DA-4565-AF53-315BBFA559CB}"/>
            </a:ext>
          </a:extLst>
        </xdr:cNvPr>
        <xdr:cNvSpPr/>
      </xdr:nvSpPr>
      <xdr:spPr>
        <a:xfrm>
          <a:off x="0" y="8162925"/>
          <a:ext cx="1771650" cy="180975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114300</xdr:colOff>
      <xdr:row>8</xdr:row>
      <xdr:rowOff>180975</xdr:rowOff>
    </xdr:from>
    <xdr:to>
      <xdr:col>16</xdr:col>
      <xdr:colOff>114300</xdr:colOff>
      <xdr:row>22</xdr:row>
      <xdr:rowOff>180975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Meses">
              <a:extLst>
                <a:ext uri="{FF2B5EF4-FFF2-40B4-BE49-F238E27FC236}">
                  <a16:creationId xmlns:a16="http://schemas.microsoft.com/office/drawing/2014/main" id="{DFD5FF6A-71C7-7035-C1B6-C583014916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77400" y="190500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8</xdr:col>
      <xdr:colOff>285750</xdr:colOff>
      <xdr:row>9</xdr:row>
      <xdr:rowOff>80962</xdr:rowOff>
    </xdr:from>
    <xdr:to>
      <xdr:col>15</xdr:col>
      <xdr:colOff>419100</xdr:colOff>
      <xdr:row>23</xdr:row>
      <xdr:rowOff>157162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05D88FF-5473-0C72-0A5E-C75880AE5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114300</xdr:rowOff>
    </xdr:from>
    <xdr:to>
      <xdr:col>12</xdr:col>
      <xdr:colOff>457200</xdr:colOff>
      <xdr:row>42</xdr:row>
      <xdr:rowOff>104775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DDA3975-2FC0-AD86-A4BC-EEBF8C9A2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81300"/>
          <a:ext cx="7772400" cy="4371975"/>
        </a:xfrm>
        <a:prstGeom prst="rect">
          <a:avLst/>
        </a:prstGeom>
      </xdr:spPr>
    </xdr:pic>
    <xdr:clientData/>
  </xdr:twoCellAnchor>
  <xdr:twoCellAnchor editAs="absolute">
    <xdr:from>
      <xdr:col>0</xdr:col>
      <xdr:colOff>571500</xdr:colOff>
      <xdr:row>20</xdr:row>
      <xdr:rowOff>114300</xdr:rowOff>
    </xdr:from>
    <xdr:to>
      <xdr:col>2</xdr:col>
      <xdr:colOff>542926</xdr:colOff>
      <xdr:row>26</xdr:row>
      <xdr:rowOff>161926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B1EE7-0E0F-436B-AB34-227FAD1AE8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929" t="22626" r="41818" b="32480"/>
        <a:stretch>
          <a:fillRect/>
        </a:stretch>
      </xdr:blipFill>
      <xdr:spPr>
        <a:xfrm>
          <a:off x="571500" y="4152900"/>
          <a:ext cx="1190626" cy="1190626"/>
        </a:xfrm>
        <a:prstGeom prst="rect">
          <a:avLst/>
        </a:prstGeom>
      </xdr:spPr>
    </xdr:pic>
    <xdr:clientData/>
  </xdr:twoCellAnchor>
  <xdr:twoCellAnchor editAs="oneCell">
    <xdr:from>
      <xdr:col>11</xdr:col>
      <xdr:colOff>561975</xdr:colOff>
      <xdr:row>4</xdr:row>
      <xdr:rowOff>161925</xdr:rowOff>
    </xdr:from>
    <xdr:to>
      <xdr:col>13</xdr:col>
      <xdr:colOff>104775</xdr:colOff>
      <xdr:row>8</xdr:row>
      <xdr:rowOff>23849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C9C0550-EF29-44D7-B819-E9B5E4495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617" t="27015" r="36275" b="19826"/>
        <a:stretch>
          <a:fillRect/>
        </a:stretch>
      </xdr:blipFill>
      <xdr:spPr>
        <a:xfrm>
          <a:off x="7267575" y="990600"/>
          <a:ext cx="762000" cy="709649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4</xdr:row>
      <xdr:rowOff>257175</xdr:rowOff>
    </xdr:from>
    <xdr:to>
      <xdr:col>11</xdr:col>
      <xdr:colOff>323850</xdr:colOff>
      <xdr:row>6</xdr:row>
      <xdr:rowOff>28575</xdr:rowOff>
    </xdr:to>
    <xdr:pic>
      <xdr:nvPicPr>
        <xdr:cNvPr id="6" name="Gráfico 5" descr="Lupa com preenchimento sólido">
          <a:extLst>
            <a:ext uri="{FF2B5EF4-FFF2-40B4-BE49-F238E27FC236}">
              <a16:creationId xmlns:a16="http://schemas.microsoft.com/office/drawing/2014/main" id="{D0320E24-0B5B-46EE-8397-205E4C82C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791325" y="1085850"/>
          <a:ext cx="23812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552450</xdr:colOff>
      <xdr:row>12</xdr:row>
      <xdr:rowOff>85725</xdr:rowOff>
    </xdr:from>
    <xdr:to>
      <xdr:col>14</xdr:col>
      <xdr:colOff>400050</xdr:colOff>
      <xdr:row>35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62078DD7-4997-7CDE-A6B6-088716B2A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2524125"/>
          <a:ext cx="7772400" cy="4371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142875</xdr:rowOff>
    </xdr:from>
    <xdr:to>
      <xdr:col>12</xdr:col>
      <xdr:colOff>457200</xdr:colOff>
      <xdr:row>53</xdr:row>
      <xdr:rowOff>133350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D8940BBB-5448-963B-3BDA-31FC0F6C1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86475"/>
          <a:ext cx="7772400" cy="4371975"/>
        </a:xfrm>
        <a:prstGeom prst="rect">
          <a:avLst/>
        </a:prstGeom>
      </xdr:spPr>
    </xdr:pic>
    <xdr:clientData/>
  </xdr:twoCellAnchor>
  <xdr:twoCellAnchor editAs="oneCell">
    <xdr:from>
      <xdr:col>12</xdr:col>
      <xdr:colOff>504825</xdr:colOff>
      <xdr:row>4</xdr:row>
      <xdr:rowOff>161925</xdr:rowOff>
    </xdr:from>
    <xdr:to>
      <xdr:col>16</xdr:col>
      <xdr:colOff>437091</xdr:colOff>
      <xdr:row>11</xdr:row>
      <xdr:rowOff>76200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ECAAF3F0-F203-EBE0-25D5-86F8FB677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5" y="990600"/>
          <a:ext cx="2370666" cy="1333500"/>
        </a:xfrm>
        <a:prstGeom prst="rect">
          <a:avLst/>
        </a:prstGeom>
      </xdr:spPr>
    </xdr:pic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" xr10:uid="{5BD7A414-E0DB-4878-B486-8DFB073BAC57}" sourceName="Meses">
  <extLst>
    <x:ext xmlns:x15="http://schemas.microsoft.com/office/spreadsheetml/2010/11/main" uri="{2F2917AC-EB37-4324-AD4E-5DD8C200BD13}">
      <x15:tableSlicerCache tableId="3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FAB4558-C6C2-4499-A070-92AC0A08E5B0}" cache="SegmentaçãodeDados_Meses" caption="Meses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2E713C-D187-4A8B-A658-24A51E617B8D}" name="tb_alunos" displayName="tb_alunos" ref="C8:L9" insertRow="1" totalsRowShown="0" headerRowDxfId="21" dataDxfId="20" tableBorderDxfId="19">
  <autoFilter ref="C8:L9" xr:uid="{392E713C-D187-4A8B-A658-24A51E617B8D}"/>
  <tableColumns count="10">
    <tableColumn id="9" xr3:uid="{AFFE0CC8-82D6-48D8-B8E8-1D619B5E4D6D}" name="ID" dataDxfId="18"/>
    <tableColumn id="1" xr3:uid="{816BED5B-F155-4706-9142-092806BBD761}" name="Pacote" dataDxfId="17"/>
    <tableColumn id="2" xr3:uid="{10CBA15D-28E4-427D-B5FB-352D00D7A08A}" name="Nome" dataDxfId="16"/>
    <tableColumn id="10" xr3:uid="{32367117-BEAC-414A-AFC6-9F4240FA40C8}" name="Cobrança" dataDxfId="15">
      <calculatedColumnFormula>IF(tb_alunos[[#This Row],[Pacote]]=0,0,tb_alunos[[#This Row],[Status]]/tb_alunos[[#This Row],[Pacote]])</calculatedColumnFormula>
    </tableColumn>
    <tableColumn id="3" xr3:uid="{83077194-F1D1-46CA-A821-782B6A3BBD97}" name="Status" dataDxfId="14"/>
    <tableColumn id="4" xr3:uid="{E3FCB62F-D361-4334-B401-DB3163E5B87D}" name="Dia aula" dataDxfId="13"/>
    <tableColumn id="5" xr3:uid="{407A350E-27EE-4E5E-AE2A-66E304730E7D}" name="Telefone" dataDxfId="12"/>
    <tableColumn id="6" xr3:uid="{4CA42D2B-E7BE-4461-8D4C-93345E0F8113}" name="Valor" dataDxfId="11"/>
    <tableColumn id="7" xr3:uid="{E917FC2A-FB4D-4C03-A072-6B8A39752B04}" name="Objetivo" dataDxfId="10"/>
    <tableColumn id="8" xr3:uid="{CDA24A8E-6E17-4FF5-9150-42C0AD059221}" name="Ativo?" dataDxfId="9"/>
  </tableColumns>
  <tableStyleInfo name="TableStyleMedium1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214EB7-33B9-4D53-8364-8A508B8DA6E8}" name="Tabela3" displayName="Tabela3" ref="A1:C13" totalsRowShown="0">
  <autoFilter ref="A1:C13" xr:uid="{54214EB7-33B9-4D53-8364-8A508B8DA6E8}"/>
  <tableColumns count="3">
    <tableColumn id="3" xr3:uid="{20FD7280-EC2A-4A7B-BF95-AB4F90D99B80}" name="Meses" dataDxfId="3"/>
    <tableColumn id="1" xr3:uid="{EF9B7B25-33EA-407E-A2A4-417CE52BFEFE}" name="Mês" dataDxfId="2"/>
    <tableColumn id="2" xr3:uid="{CBC53CDC-2782-4611-8434-D9DE5C449F70}" name="ValorRecebido" dataDxfId="1">
      <calculatedColumnFormula>SUMIFS(tb_pagamentos[ValorPago],tb_pagamentos[MesRef],B2)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B791BB6-183F-48B6-B93A-2F63A871B5CB}" name="tb_dias_aulas" displayName="tb_dias_aulas" ref="B2:C3" insertRow="1" totalsRowShown="0">
  <autoFilter ref="B2:C3" xr:uid="{5B791BB6-183F-48B6-B93A-2F63A871B5CB}"/>
  <tableColumns count="2">
    <tableColumn id="1" xr3:uid="{334C0107-38FD-473E-85A0-4890D017EC5E}" name="Aluno"/>
    <tableColumn id="2" xr3:uid="{CC979CC1-A398-4DE7-AD5E-181DC14DB237}" name="dia_aul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8ACA92-5FFA-42BE-83F5-0140AF3FE38A}" name="tb_aulas" displayName="tb_aulas" ref="E2:H3" insertRow="1" totalsRowShown="0">
  <autoFilter ref="E2:H3" xr:uid="{A48ACA92-5FFA-42BE-83F5-0140AF3FE38A}"/>
  <tableColumns count="4">
    <tableColumn id="1" xr3:uid="{DAC55BD8-F6FE-4A56-AB54-10F9B9445034}" name="AlunoID"/>
    <tableColumn id="2" xr3:uid="{75BF4270-A68B-450A-B785-647EAA02FCED}" name="DataAula"/>
    <tableColumn id="3" xr3:uid="{12A32650-5E02-47FF-BD5A-69273FB46485}" name="Conteudo"/>
    <tableColumn id="4" xr3:uid="{AF4B2D01-F774-4CC8-B2FB-BF1FFC20A7A4}" name="MesRef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2ECC90-1030-4CAC-BD4E-E051412A2B78}" name="tb_pagamentos" displayName="tb_pagamentos" ref="J2:N3" insertRow="1" totalsRowShown="0">
  <autoFilter ref="J2:N3" xr:uid="{A32ECC90-1030-4CAC-BD4E-E051412A2B78}"/>
  <tableColumns count="5">
    <tableColumn id="1" xr3:uid="{F1B93AE5-02BD-4E21-80EC-599021B5B148}" name="AlunoID"/>
    <tableColumn id="2" xr3:uid="{0E1E6190-A5EC-486A-93BF-72FD34AAD89B}" name="MesRef"/>
    <tableColumn id="3" xr3:uid="{84822241-90E8-4726-B65D-6AC5ED6CBE14}" name="Pago"/>
    <tableColumn id="4" xr3:uid="{B7968D7F-5013-4A09-9133-7811B20E9FB0}" name="DataPgto"/>
    <tableColumn id="5" xr3:uid="{BC16E11E-774D-4C3B-9479-16DF4ACE3B33}" name="ValorPago" dataDxfId="0">
      <calculatedColumnFormula>IF(tb_pagamentos[[#This Row],[Pago]]="SIM",
   INDEX(tb_alunos[Valor],MATCH(tb_pagamentos[[#This Row],[AlunoID]],tb_alunos[ID],0)),
   0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CAA4C-AD4A-490C-85AD-F60F725C5A7C}">
  <sheetPr codeName="Planilha1"/>
  <dimension ref="A1:AX556"/>
  <sheetViews>
    <sheetView workbookViewId="0">
      <selection activeCell="D18" sqref="D18"/>
    </sheetView>
  </sheetViews>
  <sheetFormatPr defaultRowHeight="15" x14ac:dyDescent="0.25"/>
  <cols>
    <col min="1" max="1" width="26.5703125" style="3" customWidth="1"/>
    <col min="3" max="3" width="4.85546875" style="16" hidden="1" customWidth="1"/>
    <col min="4" max="4" width="13.5703125" bestFit="1" customWidth="1"/>
    <col min="5" max="5" width="12.5703125" style="19" bestFit="1" customWidth="1"/>
    <col min="6" max="6" width="16.5703125" style="19" customWidth="1"/>
    <col min="7" max="7" width="13" bestFit="1" customWidth="1"/>
    <col min="8" max="8" width="22.85546875" style="12" bestFit="1" customWidth="1"/>
    <col min="9" max="9" width="20.28515625" bestFit="1" customWidth="1"/>
    <col min="10" max="10" width="15.42578125" bestFit="1" customWidth="1"/>
    <col min="11" max="11" width="12.85546875" bestFit="1" customWidth="1"/>
    <col min="28" max="28" width="12.28515625" customWidth="1"/>
  </cols>
  <sheetData>
    <row r="1" spans="1:50" x14ac:dyDescent="0.25">
      <c r="A1" s="7"/>
      <c r="B1" s="7"/>
      <c r="C1" s="14"/>
      <c r="D1" s="7"/>
      <c r="E1" s="17"/>
      <c r="F1" s="17"/>
      <c r="G1" s="7"/>
      <c r="H1" s="10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</row>
    <row r="2" spans="1:50" x14ac:dyDescent="0.25">
      <c r="B2" s="7"/>
      <c r="C2" s="14"/>
      <c r="D2" s="7"/>
      <c r="E2" s="17"/>
      <c r="F2" s="17"/>
      <c r="G2" s="7"/>
      <c r="H2" s="10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50" ht="24.75" thickBot="1" x14ac:dyDescent="0.3">
      <c r="B3" s="7"/>
      <c r="C3" s="15" t="s">
        <v>5</v>
      </c>
      <c r="D3" s="13" t="s">
        <v>5</v>
      </c>
      <c r="E3" s="18"/>
      <c r="F3" s="18"/>
      <c r="G3" s="13"/>
      <c r="H3" s="11"/>
      <c r="I3" s="9"/>
      <c r="J3" s="13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Z3" s="9"/>
      <c r="AA3" s="9"/>
      <c r="AB3" s="7"/>
    </row>
    <row r="4" spans="1:50" ht="15.75" thickTop="1" x14ac:dyDescent="0.25">
      <c r="B4" s="7"/>
      <c r="C4" s="14"/>
      <c r="D4" s="7"/>
      <c r="E4" s="17"/>
      <c r="F4" s="17"/>
      <c r="G4" s="7"/>
      <c r="H4" s="10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50" x14ac:dyDescent="0.25">
      <c r="B5" s="7"/>
      <c r="C5" s="14"/>
      <c r="D5" s="7"/>
      <c r="E5" s="17"/>
      <c r="F5" s="17"/>
      <c r="G5" s="7"/>
      <c r="H5" s="10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50" x14ac:dyDescent="0.25">
      <c r="B6" s="22"/>
      <c r="C6" s="23"/>
      <c r="D6" s="24"/>
      <c r="E6" s="25"/>
      <c r="F6" s="25"/>
      <c r="G6" s="24"/>
      <c r="H6" s="26"/>
      <c r="I6" s="22"/>
      <c r="J6" s="24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</row>
    <row r="7" spans="1:50" x14ac:dyDescent="0.25">
      <c r="B7" s="22"/>
      <c r="C7" s="27"/>
      <c r="D7" s="21"/>
      <c r="E7" s="28"/>
      <c r="F7" s="28"/>
      <c r="G7" s="21"/>
      <c r="H7" s="29"/>
      <c r="I7" s="21"/>
      <c r="J7" s="21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</row>
    <row r="8" spans="1:50" ht="18.75" x14ac:dyDescent="0.25">
      <c r="B8" s="22"/>
      <c r="C8" s="40" t="s">
        <v>6</v>
      </c>
      <c r="D8" s="30" t="s">
        <v>45</v>
      </c>
      <c r="E8" s="31" t="s">
        <v>7</v>
      </c>
      <c r="F8" s="66" t="s">
        <v>50</v>
      </c>
      <c r="G8" s="63" t="s">
        <v>51</v>
      </c>
      <c r="H8" s="31" t="s">
        <v>8</v>
      </c>
      <c r="I8" s="32" t="s">
        <v>9</v>
      </c>
      <c r="J8" s="33" t="s">
        <v>10</v>
      </c>
      <c r="K8" s="31" t="s">
        <v>11</v>
      </c>
      <c r="L8" s="31" t="s">
        <v>12</v>
      </c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</row>
    <row r="9" spans="1:50" ht="18.75" x14ac:dyDescent="0.25">
      <c r="B9" s="22"/>
      <c r="C9" s="64"/>
      <c r="D9" s="42"/>
      <c r="E9" s="64"/>
      <c r="F9" s="42"/>
      <c r="G9" s="65"/>
      <c r="H9" s="64"/>
      <c r="I9" s="43"/>
      <c r="J9" s="44"/>
      <c r="K9" s="64"/>
      <c r="L9" s="64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</row>
    <row r="10" spans="1:50" x14ac:dyDescent="0.25">
      <c r="B10" s="22"/>
      <c r="C10" s="23"/>
      <c r="D10" s="24"/>
      <c r="E10" s="25"/>
      <c r="F10" s="25"/>
      <c r="G10" s="24"/>
      <c r="H10" s="26"/>
      <c r="I10" s="22"/>
      <c r="J10" s="24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</row>
    <row r="11" spans="1:50" x14ac:dyDescent="0.25">
      <c r="B11" s="22"/>
      <c r="C11" s="23"/>
      <c r="D11" s="24"/>
      <c r="E11" s="25"/>
      <c r="F11" s="25"/>
      <c r="G11" s="24"/>
      <c r="H11" s="26"/>
      <c r="I11" s="22"/>
      <c r="J11" s="24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</row>
    <row r="12" spans="1:50" x14ac:dyDescent="0.25">
      <c r="B12" s="22"/>
      <c r="C12" s="23"/>
      <c r="D12" s="24"/>
      <c r="E12" s="25"/>
      <c r="F12" s="25"/>
      <c r="G12" s="24"/>
      <c r="H12" s="26"/>
      <c r="I12" s="22"/>
      <c r="J12" s="24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</row>
    <row r="13" spans="1:50" x14ac:dyDescent="0.25">
      <c r="B13" s="22"/>
      <c r="C13" s="23"/>
      <c r="D13" s="24"/>
      <c r="E13" s="25"/>
      <c r="F13" s="25"/>
      <c r="G13" s="24"/>
      <c r="H13" s="26"/>
      <c r="I13" s="22"/>
      <c r="J13" s="24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x14ac:dyDescent="0.25">
      <c r="B14" s="22"/>
      <c r="C14" s="23"/>
      <c r="D14" s="24"/>
      <c r="E14" s="25"/>
      <c r="F14" s="25"/>
      <c r="G14" s="24"/>
      <c r="H14" s="26"/>
      <c r="I14" s="22"/>
      <c r="J14" s="24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x14ac:dyDescent="0.25">
      <c r="B15" s="22"/>
      <c r="C15" s="23"/>
      <c r="D15" s="24"/>
      <c r="E15" s="25"/>
      <c r="F15" s="25"/>
      <c r="G15" s="24"/>
      <c r="H15" s="26"/>
      <c r="I15" s="22"/>
      <c r="J15" s="24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x14ac:dyDescent="0.25">
      <c r="B16" s="22"/>
      <c r="C16" s="23"/>
      <c r="D16" s="24"/>
      <c r="E16" s="25"/>
      <c r="F16" s="25"/>
      <c r="G16" s="24"/>
      <c r="H16" s="26"/>
      <c r="I16" s="22"/>
      <c r="J16" s="24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</row>
    <row r="17" spans="2:50" x14ac:dyDescent="0.25">
      <c r="B17" s="22"/>
      <c r="C17" s="23"/>
      <c r="D17" s="24"/>
      <c r="E17" s="25"/>
      <c r="F17" s="25"/>
      <c r="G17" s="24"/>
      <c r="H17" s="26"/>
      <c r="I17" s="22"/>
      <c r="J17" s="24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</row>
    <row r="18" spans="2:50" x14ac:dyDescent="0.25">
      <c r="B18" s="22"/>
      <c r="C18" s="23"/>
      <c r="D18" s="24"/>
      <c r="E18" s="25"/>
      <c r="F18" s="25"/>
      <c r="G18" s="24"/>
      <c r="H18" s="26"/>
      <c r="I18" s="22"/>
      <c r="J18" s="24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</row>
    <row r="19" spans="2:50" x14ac:dyDescent="0.25">
      <c r="B19" s="22"/>
      <c r="C19" s="23"/>
      <c r="D19" s="24"/>
      <c r="E19" s="25"/>
      <c r="F19" s="25"/>
      <c r="G19" s="24"/>
      <c r="H19" s="26"/>
      <c r="I19" s="22"/>
      <c r="J19" s="24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</row>
    <row r="20" spans="2:50" x14ac:dyDescent="0.25">
      <c r="B20" s="22"/>
      <c r="C20" s="23"/>
      <c r="D20" s="24"/>
      <c r="E20" s="25"/>
      <c r="F20" s="25"/>
      <c r="G20" s="24"/>
      <c r="H20" s="26"/>
      <c r="I20" s="22"/>
      <c r="J20" s="24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</row>
    <row r="21" spans="2:50" x14ac:dyDescent="0.25">
      <c r="B21" s="22"/>
      <c r="C21" s="23"/>
      <c r="D21" s="24"/>
      <c r="E21" s="25"/>
      <c r="F21" s="25"/>
      <c r="G21" s="24"/>
      <c r="H21" s="26"/>
      <c r="I21" s="22"/>
      <c r="J21" s="24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</row>
    <row r="22" spans="2:50" x14ac:dyDescent="0.25">
      <c r="B22" s="22"/>
      <c r="C22" s="23"/>
      <c r="D22" s="24"/>
      <c r="E22" s="25"/>
      <c r="F22" s="25"/>
      <c r="G22" s="24"/>
      <c r="H22" s="26"/>
      <c r="I22" s="22"/>
      <c r="J22" s="24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</row>
    <row r="23" spans="2:50" x14ac:dyDescent="0.25">
      <c r="B23" s="22"/>
      <c r="C23" s="23"/>
      <c r="D23" s="24"/>
      <c r="E23" s="25"/>
      <c r="F23" s="25"/>
      <c r="G23" s="24"/>
      <c r="H23" s="26"/>
      <c r="I23" s="22"/>
      <c r="J23" s="24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</row>
    <row r="24" spans="2:50" x14ac:dyDescent="0.25">
      <c r="B24" s="22"/>
      <c r="C24" s="23"/>
      <c r="D24" s="24"/>
      <c r="E24" s="25"/>
      <c r="F24" s="25"/>
      <c r="G24" s="24"/>
      <c r="H24" s="26"/>
      <c r="I24" s="22"/>
      <c r="J24" s="24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</row>
    <row r="25" spans="2:50" x14ac:dyDescent="0.25">
      <c r="B25" s="22"/>
      <c r="C25" s="23"/>
      <c r="D25" s="24"/>
      <c r="E25" s="25"/>
      <c r="F25" s="25"/>
      <c r="G25" s="24"/>
      <c r="H25" s="26"/>
      <c r="I25" s="22"/>
      <c r="J25" s="24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</row>
    <row r="26" spans="2:50" x14ac:dyDescent="0.25">
      <c r="B26" s="22"/>
      <c r="C26" s="23"/>
      <c r="D26" s="24"/>
      <c r="E26" s="25"/>
      <c r="F26" s="25"/>
      <c r="G26" s="24"/>
      <c r="H26" s="26"/>
      <c r="I26" s="22"/>
      <c r="J26" s="24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</row>
    <row r="27" spans="2:50" x14ac:dyDescent="0.25">
      <c r="B27" s="22"/>
      <c r="C27" s="23"/>
      <c r="D27" s="24"/>
      <c r="E27" s="25"/>
      <c r="F27" s="25"/>
      <c r="G27" s="24"/>
      <c r="H27" s="26"/>
      <c r="I27" s="22"/>
      <c r="J27" s="24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</row>
    <row r="28" spans="2:50" x14ac:dyDescent="0.25">
      <c r="B28" s="22"/>
      <c r="C28" s="23"/>
      <c r="D28" s="24"/>
      <c r="E28" s="25"/>
      <c r="F28" s="25"/>
      <c r="G28" s="24"/>
      <c r="H28" s="26"/>
      <c r="I28" s="22"/>
      <c r="J28" s="24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</row>
    <row r="29" spans="2:50" x14ac:dyDescent="0.25">
      <c r="B29" s="22"/>
      <c r="C29" s="23"/>
      <c r="D29" s="24"/>
      <c r="E29" s="25"/>
      <c r="F29" s="25"/>
      <c r="G29" s="24"/>
      <c r="H29" s="26"/>
      <c r="I29" s="22"/>
      <c r="J29" s="24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</row>
    <row r="30" spans="2:50" x14ac:dyDescent="0.25">
      <c r="B30" s="22"/>
      <c r="C30" s="23"/>
      <c r="D30" s="24"/>
      <c r="E30" s="25"/>
      <c r="F30" s="25"/>
      <c r="G30" s="24"/>
      <c r="H30" s="26"/>
      <c r="I30" s="22"/>
      <c r="J30" s="24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</row>
    <row r="31" spans="2:50" x14ac:dyDescent="0.25">
      <c r="B31" s="22"/>
      <c r="C31" s="23"/>
      <c r="D31" s="24"/>
      <c r="E31" s="25"/>
      <c r="F31" s="25"/>
      <c r="G31" s="24"/>
      <c r="H31" s="26"/>
      <c r="I31" s="22"/>
      <c r="J31" s="24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</row>
    <row r="32" spans="2:50" x14ac:dyDescent="0.25">
      <c r="B32" s="22"/>
      <c r="C32" s="23"/>
      <c r="D32" s="24"/>
      <c r="E32" s="25"/>
      <c r="F32" s="25"/>
      <c r="G32" s="24"/>
      <c r="H32" s="26"/>
      <c r="I32" s="22"/>
      <c r="J32" s="24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</row>
    <row r="33" spans="1:50" x14ac:dyDescent="0.25">
      <c r="B33" s="22"/>
      <c r="C33" s="23"/>
      <c r="D33" s="24"/>
      <c r="E33" s="25"/>
      <c r="F33" s="25"/>
      <c r="G33" s="24"/>
      <c r="H33" s="26"/>
      <c r="I33" s="22"/>
      <c r="J33" s="24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</row>
    <row r="34" spans="1:50" x14ac:dyDescent="0.25">
      <c r="B34" s="22"/>
      <c r="C34" s="23"/>
      <c r="D34" s="24"/>
      <c r="E34" s="25"/>
      <c r="F34" s="25"/>
      <c r="G34" s="24"/>
      <c r="H34" s="26"/>
      <c r="I34" s="22"/>
      <c r="J34" s="24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</row>
    <row r="35" spans="1:50" x14ac:dyDescent="0.25">
      <c r="B35" s="22"/>
      <c r="C35" s="23"/>
      <c r="D35" s="24"/>
      <c r="E35" s="25"/>
      <c r="F35" s="25"/>
      <c r="G35" s="24"/>
      <c r="H35" s="26"/>
      <c r="I35" s="22"/>
      <c r="J35" s="24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</row>
    <row r="36" spans="1:50" x14ac:dyDescent="0.25">
      <c r="B36" s="22"/>
      <c r="C36" s="23"/>
      <c r="D36" s="24"/>
      <c r="E36" s="25"/>
      <c r="F36" s="25"/>
      <c r="G36" s="24"/>
      <c r="H36" s="26"/>
      <c r="I36" s="22"/>
      <c r="J36" s="24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</row>
    <row r="37" spans="1:50" x14ac:dyDescent="0.25">
      <c r="B37" s="22"/>
      <c r="C37" s="23"/>
      <c r="D37" s="24"/>
      <c r="E37" s="25"/>
      <c r="F37" s="25"/>
      <c r="G37" s="24"/>
      <c r="H37" s="26"/>
      <c r="I37" s="22"/>
      <c r="J37" s="24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</row>
    <row r="38" spans="1:50" x14ac:dyDescent="0.25">
      <c r="B38" s="22"/>
      <c r="C38" s="23"/>
      <c r="D38" s="24"/>
      <c r="E38" s="25"/>
      <c r="F38" s="25"/>
      <c r="G38" s="24"/>
      <c r="H38" s="26"/>
      <c r="I38" s="22"/>
      <c r="J38" s="24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</row>
    <row r="39" spans="1:50" x14ac:dyDescent="0.25">
      <c r="B39" s="22"/>
      <c r="C39" s="23"/>
      <c r="D39" s="24"/>
      <c r="E39" s="25"/>
      <c r="F39" s="25"/>
      <c r="G39" s="24"/>
      <c r="H39" s="26"/>
      <c r="I39" s="22"/>
      <c r="J39" s="24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</row>
    <row r="40" spans="1:50" x14ac:dyDescent="0.25">
      <c r="B40" s="22"/>
      <c r="C40" s="23"/>
      <c r="D40" s="24"/>
      <c r="E40" s="25"/>
      <c r="F40" s="25"/>
      <c r="G40" s="24"/>
      <c r="H40" s="26"/>
      <c r="I40" s="22"/>
      <c r="J40" s="24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</row>
    <row r="41" spans="1:50" x14ac:dyDescent="0.25">
      <c r="B41" s="22"/>
      <c r="C41" s="23"/>
      <c r="D41" s="24"/>
      <c r="E41" s="25"/>
      <c r="F41" s="25"/>
      <c r="G41" s="24"/>
      <c r="H41" s="26"/>
      <c r="I41" s="22"/>
      <c r="J41" s="24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</row>
    <row r="42" spans="1:50" x14ac:dyDescent="0.25">
      <c r="B42" s="22"/>
      <c r="C42" s="23"/>
      <c r="D42" s="24"/>
      <c r="E42" s="25"/>
      <c r="F42" s="25"/>
      <c r="G42" s="24"/>
      <c r="H42" s="26"/>
      <c r="I42" s="22"/>
      <c r="J42" s="24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</row>
    <row r="43" spans="1:50" x14ac:dyDescent="0.25">
      <c r="A43" s="80"/>
      <c r="B43" s="22"/>
      <c r="C43" s="23"/>
      <c r="D43" s="24"/>
      <c r="E43" s="25"/>
      <c r="F43" s="25"/>
      <c r="G43" s="24"/>
      <c r="H43" s="26"/>
      <c r="I43" s="22"/>
      <c r="J43" s="24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</row>
    <row r="44" spans="1:50" x14ac:dyDescent="0.25">
      <c r="A44" s="80"/>
      <c r="B44" s="22"/>
      <c r="C44" s="23"/>
      <c r="D44" s="24"/>
      <c r="E44" s="25"/>
      <c r="F44" s="25"/>
      <c r="G44" s="24"/>
      <c r="H44" s="26"/>
      <c r="I44" s="22"/>
      <c r="J44" s="24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</row>
    <row r="45" spans="1:50" x14ac:dyDescent="0.25">
      <c r="A45" s="80"/>
      <c r="B45" s="22"/>
      <c r="C45" s="23"/>
      <c r="D45" s="24"/>
      <c r="E45" s="25"/>
      <c r="F45" s="25"/>
      <c r="G45" s="24"/>
      <c r="H45" s="26"/>
      <c r="I45" s="22"/>
      <c r="J45" s="24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</row>
    <row r="46" spans="1:50" x14ac:dyDescent="0.25">
      <c r="A46" s="80"/>
      <c r="B46" s="22"/>
      <c r="C46" s="23"/>
      <c r="D46" s="24"/>
      <c r="E46" s="25"/>
      <c r="F46" s="25"/>
      <c r="G46" s="24"/>
      <c r="H46" s="26"/>
      <c r="I46" s="22"/>
      <c r="J46" s="24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</row>
    <row r="47" spans="1:50" x14ac:dyDescent="0.25">
      <c r="A47" s="80"/>
      <c r="B47" s="22"/>
      <c r="C47" s="23"/>
      <c r="D47" s="24"/>
      <c r="E47" s="25"/>
      <c r="F47" s="25"/>
      <c r="G47" s="24"/>
      <c r="H47" s="26"/>
      <c r="I47" s="22"/>
      <c r="J47" s="24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</row>
    <row r="48" spans="1:50" x14ac:dyDescent="0.25">
      <c r="A48" s="80"/>
      <c r="B48" s="22"/>
      <c r="C48" s="23"/>
      <c r="D48" s="24"/>
      <c r="E48" s="25"/>
      <c r="F48" s="25"/>
      <c r="G48" s="24"/>
      <c r="H48" s="26"/>
      <c r="I48" s="22"/>
      <c r="J48" s="24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</row>
    <row r="49" spans="1:50" x14ac:dyDescent="0.25">
      <c r="A49" s="80"/>
      <c r="B49" s="22"/>
      <c r="C49" s="23"/>
      <c r="D49" s="24"/>
      <c r="E49" s="25"/>
      <c r="F49" s="25"/>
      <c r="G49" s="24"/>
      <c r="H49" s="26"/>
      <c r="I49" s="22"/>
      <c r="J49" s="24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</row>
    <row r="50" spans="1:50" x14ac:dyDescent="0.25">
      <c r="A50" s="80"/>
      <c r="B50" s="22"/>
      <c r="C50" s="23"/>
      <c r="D50" s="24"/>
      <c r="E50" s="25"/>
      <c r="F50" s="25"/>
      <c r="G50" s="24"/>
      <c r="H50" s="26"/>
      <c r="I50" s="22"/>
      <c r="J50" s="24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</row>
    <row r="51" spans="1:50" x14ac:dyDescent="0.25">
      <c r="A51" s="80"/>
      <c r="B51" s="22"/>
      <c r="C51" s="23"/>
      <c r="D51" s="24"/>
      <c r="E51" s="25"/>
      <c r="F51" s="25"/>
      <c r="G51" s="24"/>
      <c r="H51" s="26"/>
      <c r="I51" s="22"/>
      <c r="J51" s="24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</row>
    <row r="52" spans="1:50" x14ac:dyDescent="0.25">
      <c r="A52" s="80"/>
      <c r="B52" s="22"/>
      <c r="C52" s="23"/>
      <c r="D52" s="24"/>
      <c r="E52" s="25"/>
      <c r="F52" s="25"/>
      <c r="G52" s="24"/>
      <c r="H52" s="26"/>
      <c r="I52" s="22"/>
      <c r="J52" s="24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</row>
    <row r="53" spans="1:50" x14ac:dyDescent="0.25">
      <c r="A53" s="80"/>
      <c r="B53" s="22"/>
      <c r="C53" s="23"/>
      <c r="D53" s="24"/>
      <c r="E53" s="25"/>
      <c r="F53" s="25"/>
      <c r="G53" s="24"/>
      <c r="H53" s="26"/>
      <c r="I53" s="22"/>
      <c r="J53" s="24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</row>
    <row r="54" spans="1:50" x14ac:dyDescent="0.25">
      <c r="A54" s="80"/>
      <c r="B54" s="22"/>
      <c r="C54" s="23"/>
      <c r="D54" s="24"/>
      <c r="E54" s="25"/>
      <c r="F54" s="25"/>
      <c r="G54" s="24"/>
      <c r="H54" s="26"/>
      <c r="I54" s="22"/>
      <c r="J54" s="24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</row>
    <row r="55" spans="1:50" x14ac:dyDescent="0.25">
      <c r="A55" s="80"/>
      <c r="B55" s="22"/>
      <c r="C55" s="23"/>
      <c r="D55" s="24"/>
      <c r="E55" s="25"/>
      <c r="F55" s="25"/>
      <c r="G55" s="24"/>
      <c r="H55" s="26"/>
      <c r="I55" s="22"/>
      <c r="J55" s="24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</row>
    <row r="56" spans="1:50" x14ac:dyDescent="0.25">
      <c r="A56" s="80"/>
      <c r="B56" s="22"/>
      <c r="C56" s="23"/>
      <c r="D56" s="24"/>
      <c r="E56" s="25"/>
      <c r="F56" s="25"/>
      <c r="G56" s="24"/>
      <c r="H56" s="26"/>
      <c r="I56" s="22"/>
      <c r="J56" s="24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</row>
    <row r="57" spans="1:50" x14ac:dyDescent="0.25">
      <c r="A57" s="80"/>
      <c r="B57" s="22"/>
      <c r="C57" s="23"/>
      <c r="D57" s="24"/>
      <c r="E57" s="25"/>
      <c r="F57" s="25"/>
      <c r="G57" s="24"/>
      <c r="H57" s="26"/>
      <c r="I57" s="22"/>
      <c r="J57" s="24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</row>
    <row r="58" spans="1:50" x14ac:dyDescent="0.25">
      <c r="A58" s="80"/>
      <c r="B58" s="22"/>
      <c r="C58" s="23"/>
      <c r="D58" s="24"/>
      <c r="E58" s="25"/>
      <c r="F58" s="25"/>
      <c r="G58" s="24"/>
      <c r="H58" s="26"/>
      <c r="I58" s="22"/>
      <c r="J58" s="24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</row>
    <row r="59" spans="1:50" x14ac:dyDescent="0.25">
      <c r="A59" s="80"/>
      <c r="B59" s="22"/>
      <c r="C59" s="23"/>
      <c r="D59" s="24"/>
      <c r="E59" s="25"/>
      <c r="F59" s="25"/>
      <c r="G59" s="24"/>
      <c r="H59" s="26"/>
      <c r="I59" s="22"/>
      <c r="J59" s="24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</row>
    <row r="60" spans="1:50" x14ac:dyDescent="0.25">
      <c r="A60" s="80"/>
      <c r="B60" s="22"/>
      <c r="C60" s="23"/>
      <c r="D60" s="24"/>
      <c r="E60" s="25"/>
      <c r="F60" s="25"/>
      <c r="G60" s="24"/>
      <c r="H60" s="26"/>
      <c r="I60" s="22"/>
      <c r="J60" s="24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</row>
    <row r="61" spans="1:50" x14ac:dyDescent="0.25">
      <c r="A61" s="80"/>
      <c r="B61" s="22"/>
      <c r="C61" s="23"/>
      <c r="D61" s="24"/>
      <c r="E61" s="25"/>
      <c r="F61" s="25"/>
      <c r="G61" s="24"/>
      <c r="H61" s="26"/>
      <c r="I61" s="22"/>
      <c r="J61" s="24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</row>
    <row r="62" spans="1:50" x14ac:dyDescent="0.25">
      <c r="A62" s="80"/>
      <c r="B62" s="22"/>
      <c r="C62" s="23"/>
      <c r="D62" s="24"/>
      <c r="E62" s="25"/>
      <c r="F62" s="25"/>
      <c r="G62" s="24"/>
      <c r="H62" s="26"/>
      <c r="I62" s="22"/>
      <c r="J62" s="24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</row>
    <row r="63" spans="1:50" x14ac:dyDescent="0.25">
      <c r="A63" s="80"/>
      <c r="B63" s="22"/>
      <c r="C63" s="23"/>
      <c r="D63" s="24"/>
      <c r="E63" s="25"/>
      <c r="F63" s="25"/>
      <c r="G63" s="24"/>
      <c r="H63" s="26"/>
      <c r="I63" s="22"/>
      <c r="J63" s="24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</row>
    <row r="64" spans="1:50" x14ac:dyDescent="0.25">
      <c r="A64" s="80"/>
      <c r="B64" s="22"/>
      <c r="C64" s="23"/>
      <c r="D64" s="24"/>
      <c r="E64" s="25"/>
      <c r="F64" s="25"/>
      <c r="G64" s="24"/>
      <c r="H64" s="26"/>
      <c r="I64" s="22"/>
      <c r="J64" s="24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</row>
    <row r="65" spans="1:50" x14ac:dyDescent="0.25">
      <c r="A65" s="80"/>
      <c r="B65" s="22"/>
      <c r="C65" s="23"/>
      <c r="D65" s="24"/>
      <c r="E65" s="25"/>
      <c r="F65" s="25"/>
      <c r="G65" s="24"/>
      <c r="H65" s="26"/>
      <c r="I65" s="22"/>
      <c r="J65" s="24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</row>
    <row r="66" spans="1:50" x14ac:dyDescent="0.25">
      <c r="A66" s="80"/>
      <c r="B66" s="22"/>
      <c r="C66" s="23"/>
      <c r="D66" s="24"/>
      <c r="E66" s="25"/>
      <c r="F66" s="25"/>
      <c r="G66" s="24"/>
      <c r="H66" s="26"/>
      <c r="I66" s="22"/>
      <c r="J66" s="24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</row>
    <row r="67" spans="1:50" x14ac:dyDescent="0.25">
      <c r="A67" s="80"/>
      <c r="B67" s="22"/>
      <c r="C67" s="23"/>
      <c r="D67" s="24"/>
      <c r="E67" s="25"/>
      <c r="F67" s="25"/>
      <c r="G67" s="24"/>
      <c r="H67" s="26"/>
      <c r="I67" s="22"/>
      <c r="J67" s="24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</row>
    <row r="68" spans="1:50" x14ac:dyDescent="0.25">
      <c r="A68" s="80"/>
      <c r="B68" s="22"/>
      <c r="C68" s="23"/>
      <c r="D68" s="24"/>
      <c r="E68" s="25"/>
      <c r="F68" s="25"/>
      <c r="G68" s="24"/>
      <c r="H68" s="26"/>
      <c r="I68" s="22"/>
      <c r="J68" s="24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</row>
    <row r="69" spans="1:50" x14ac:dyDescent="0.25">
      <c r="A69" s="80"/>
      <c r="B69" s="22"/>
      <c r="C69" s="23"/>
      <c r="D69" s="24"/>
      <c r="E69" s="25"/>
      <c r="F69" s="25"/>
      <c r="G69" s="24"/>
      <c r="H69" s="26"/>
      <c r="I69" s="22"/>
      <c r="J69" s="24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</row>
    <row r="70" spans="1:50" x14ac:dyDescent="0.25">
      <c r="A70" s="80"/>
      <c r="B70" s="22"/>
      <c r="C70" s="23"/>
      <c r="D70" s="24"/>
      <c r="E70" s="25"/>
      <c r="F70" s="25"/>
      <c r="G70" s="24"/>
      <c r="H70" s="26"/>
      <c r="I70" s="22"/>
      <c r="J70" s="24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</row>
    <row r="71" spans="1:50" x14ac:dyDescent="0.25">
      <c r="A71" s="80"/>
      <c r="B71" s="22"/>
      <c r="C71" s="23"/>
      <c r="D71" s="24"/>
      <c r="E71" s="25"/>
      <c r="F71" s="25"/>
      <c r="G71" s="24"/>
      <c r="H71" s="26"/>
      <c r="I71" s="22"/>
      <c r="J71" s="24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</row>
    <row r="72" spans="1:50" x14ac:dyDescent="0.25">
      <c r="A72" s="80"/>
      <c r="B72" s="22"/>
      <c r="C72" s="23"/>
      <c r="D72" s="24"/>
      <c r="E72" s="25"/>
      <c r="F72" s="25"/>
      <c r="G72" s="24"/>
      <c r="H72" s="26"/>
      <c r="I72" s="22"/>
      <c r="J72" s="24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</row>
    <row r="73" spans="1:50" x14ac:dyDescent="0.25">
      <c r="A73" s="80"/>
      <c r="B73" s="22"/>
      <c r="C73" s="23"/>
      <c r="D73" s="24"/>
      <c r="E73" s="25"/>
      <c r="F73" s="25"/>
      <c r="G73" s="24"/>
      <c r="H73" s="26"/>
      <c r="I73" s="22"/>
      <c r="J73" s="24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</row>
    <row r="74" spans="1:50" x14ac:dyDescent="0.25">
      <c r="A74" s="80"/>
      <c r="B74" s="22"/>
      <c r="C74" s="23"/>
      <c r="D74" s="24"/>
      <c r="E74" s="25"/>
      <c r="F74" s="25"/>
      <c r="G74" s="24"/>
      <c r="H74" s="26"/>
      <c r="I74" s="22"/>
      <c r="J74" s="24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</row>
    <row r="75" spans="1:50" x14ac:dyDescent="0.25">
      <c r="A75" s="80"/>
      <c r="B75" s="22"/>
      <c r="C75" s="23"/>
      <c r="D75" s="24"/>
      <c r="E75" s="25"/>
      <c r="F75" s="25"/>
      <c r="G75" s="24"/>
      <c r="H75" s="26"/>
      <c r="I75" s="22"/>
      <c r="J75" s="24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</row>
    <row r="76" spans="1:50" x14ac:dyDescent="0.25">
      <c r="A76" s="80"/>
      <c r="B76" s="22"/>
      <c r="C76" s="23"/>
      <c r="D76" s="24"/>
      <c r="E76" s="25"/>
      <c r="F76" s="25"/>
      <c r="G76" s="24"/>
      <c r="H76" s="26"/>
      <c r="I76" s="22"/>
      <c r="J76" s="24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</row>
    <row r="77" spans="1:50" x14ac:dyDescent="0.25">
      <c r="A77" s="80"/>
      <c r="B77" s="22"/>
      <c r="C77" s="27"/>
      <c r="D77" s="21"/>
      <c r="E77" s="28"/>
      <c r="F77" s="28"/>
      <c r="G77" s="21"/>
      <c r="H77" s="29"/>
      <c r="I77" s="21"/>
      <c r="J77" s="21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</row>
    <row r="78" spans="1:50" x14ac:dyDescent="0.25">
      <c r="A78" s="80"/>
      <c r="B78" s="22"/>
      <c r="C78" s="27"/>
      <c r="D78" s="21"/>
      <c r="E78" s="28"/>
      <c r="F78" s="28"/>
      <c r="G78" s="21"/>
      <c r="H78" s="29"/>
      <c r="I78" s="21"/>
      <c r="J78" s="21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</row>
    <row r="79" spans="1:50" x14ac:dyDescent="0.25">
      <c r="A79" s="80"/>
      <c r="B79" s="22"/>
      <c r="C79" s="27"/>
      <c r="D79" s="21"/>
      <c r="E79" s="28"/>
      <c r="F79" s="28"/>
      <c r="G79" s="21"/>
      <c r="H79" s="29"/>
      <c r="I79" s="21"/>
      <c r="J79" s="21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</row>
    <row r="80" spans="1:50" x14ac:dyDescent="0.25">
      <c r="A80" s="80"/>
      <c r="B80" s="22"/>
      <c r="C80" s="27"/>
      <c r="D80" s="21"/>
      <c r="E80" s="28"/>
      <c r="F80" s="28"/>
      <c r="G80" s="21"/>
      <c r="H80" s="29"/>
      <c r="I80" s="21"/>
      <c r="J80" s="21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</row>
    <row r="81" spans="1:50" x14ac:dyDescent="0.25">
      <c r="A81" s="80"/>
      <c r="B81" s="22"/>
      <c r="C81" s="27"/>
      <c r="D81" s="21"/>
      <c r="E81" s="28"/>
      <c r="F81" s="28"/>
      <c r="G81" s="21"/>
      <c r="H81" s="29"/>
      <c r="I81" s="21"/>
      <c r="J81" s="21"/>
      <c r="K81" s="21"/>
      <c r="L81" s="21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</row>
    <row r="82" spans="1:50" x14ac:dyDescent="0.25">
      <c r="A82" s="21"/>
      <c r="B82" s="22"/>
      <c r="C82" s="27"/>
      <c r="D82" s="21"/>
      <c r="E82" s="28"/>
      <c r="F82" s="28"/>
      <c r="G82" s="21"/>
      <c r="H82" s="29"/>
      <c r="I82" s="21"/>
      <c r="J82" s="21"/>
      <c r="K82" s="21"/>
      <c r="L82" s="21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</row>
    <row r="83" spans="1:50" x14ac:dyDescent="0.25">
      <c r="A83" s="21"/>
      <c r="B83" s="22"/>
      <c r="C83" s="27"/>
      <c r="D83" s="21"/>
      <c r="E83" s="28"/>
      <c r="F83" s="28"/>
      <c r="G83" s="21"/>
      <c r="H83" s="29"/>
      <c r="I83" s="21"/>
      <c r="J83" s="21"/>
      <c r="K83" s="21"/>
      <c r="L83" s="21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</row>
    <row r="84" spans="1:50" x14ac:dyDescent="0.25">
      <c r="A84" s="21"/>
      <c r="B84" s="22"/>
      <c r="C84" s="27"/>
      <c r="D84" s="21"/>
      <c r="E84" s="28"/>
      <c r="F84" s="28"/>
      <c r="G84" s="21"/>
      <c r="H84" s="29"/>
      <c r="I84" s="21"/>
      <c r="J84" s="21"/>
      <c r="K84" s="21"/>
      <c r="L84" s="21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</row>
    <row r="85" spans="1:50" x14ac:dyDescent="0.25">
      <c r="A85" s="21"/>
      <c r="B85" s="22"/>
      <c r="C85" s="27"/>
      <c r="D85" s="21"/>
      <c r="E85" s="28"/>
      <c r="F85" s="28"/>
      <c r="G85" s="21"/>
      <c r="H85" s="29"/>
      <c r="I85" s="21"/>
      <c r="J85" s="21"/>
      <c r="K85" s="21"/>
      <c r="L85" s="21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</row>
    <row r="86" spans="1:50" x14ac:dyDescent="0.25">
      <c r="A86" s="21"/>
      <c r="B86" s="21"/>
      <c r="C86" s="27"/>
      <c r="D86" s="21"/>
      <c r="E86" s="28"/>
      <c r="F86" s="28"/>
      <c r="G86" s="21"/>
      <c r="H86" s="29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</row>
    <row r="87" spans="1:50" x14ac:dyDescent="0.25">
      <c r="A87" s="21"/>
      <c r="B87" s="21"/>
      <c r="C87" s="27"/>
      <c r="D87" s="21"/>
      <c r="E87" s="28"/>
      <c r="F87" s="28"/>
      <c r="G87" s="21"/>
      <c r="H87" s="29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</row>
    <row r="88" spans="1:50" x14ac:dyDescent="0.25">
      <c r="A88" s="21"/>
      <c r="B88" s="21"/>
      <c r="C88" s="27"/>
      <c r="D88" s="21"/>
      <c r="E88" s="28"/>
      <c r="F88" s="28"/>
      <c r="G88" s="21"/>
      <c r="H88" s="29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</row>
    <row r="89" spans="1:50" x14ac:dyDescent="0.25">
      <c r="A89" s="21"/>
      <c r="B89" s="21"/>
      <c r="C89" s="27"/>
      <c r="D89" s="21"/>
      <c r="E89" s="28"/>
      <c r="F89" s="28"/>
      <c r="G89" s="21"/>
      <c r="H89" s="29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</row>
    <row r="90" spans="1:50" x14ac:dyDescent="0.25">
      <c r="A90" s="21"/>
      <c r="B90" s="21"/>
      <c r="C90" s="27"/>
      <c r="D90" s="21"/>
      <c r="E90" s="28"/>
      <c r="F90" s="28"/>
      <c r="G90" s="21"/>
      <c r="H90" s="29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</row>
    <row r="91" spans="1:50" x14ac:dyDescent="0.25">
      <c r="A91" s="21"/>
      <c r="B91" s="21"/>
      <c r="C91" s="27"/>
      <c r="D91" s="21"/>
      <c r="E91" s="28"/>
      <c r="F91" s="28"/>
      <c r="G91" s="21"/>
      <c r="H91" s="29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</row>
    <row r="92" spans="1:50" x14ac:dyDescent="0.25">
      <c r="A92" s="21"/>
      <c r="B92" s="21"/>
      <c r="C92" s="27"/>
      <c r="D92" s="21"/>
      <c r="E92" s="28"/>
      <c r="F92" s="28"/>
      <c r="G92" s="21"/>
      <c r="H92" s="29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</row>
    <row r="93" spans="1:50" x14ac:dyDescent="0.25">
      <c r="A93" s="21"/>
      <c r="B93" s="21"/>
      <c r="C93" s="27"/>
      <c r="D93" s="21"/>
      <c r="E93" s="28"/>
      <c r="F93" s="28"/>
      <c r="G93" s="21"/>
      <c r="H93" s="29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</row>
    <row r="94" spans="1:50" x14ac:dyDescent="0.25">
      <c r="A94" s="21"/>
      <c r="B94" s="21"/>
      <c r="C94" s="27"/>
      <c r="D94" s="21"/>
      <c r="E94" s="28"/>
      <c r="F94" s="28"/>
      <c r="G94" s="21"/>
      <c r="H94" s="29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</row>
    <row r="95" spans="1:50" x14ac:dyDescent="0.25">
      <c r="A95" s="21"/>
      <c r="B95" s="21"/>
      <c r="C95" s="27"/>
      <c r="D95" s="21"/>
      <c r="E95" s="28"/>
      <c r="F95" s="28"/>
      <c r="G95" s="21"/>
      <c r="H95" s="29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</row>
    <row r="96" spans="1:50" x14ac:dyDescent="0.25">
      <c r="A96" s="21"/>
      <c r="B96" s="21"/>
      <c r="C96" s="27"/>
      <c r="D96" s="21"/>
      <c r="E96" s="28"/>
      <c r="F96" s="28"/>
      <c r="G96" s="21"/>
      <c r="H96" s="29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</row>
    <row r="97" spans="1:50" x14ac:dyDescent="0.25">
      <c r="A97" s="21"/>
      <c r="B97" s="21"/>
      <c r="C97" s="27"/>
      <c r="D97" s="21"/>
      <c r="E97" s="28"/>
      <c r="F97" s="28"/>
      <c r="G97" s="21"/>
      <c r="H97" s="29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</row>
    <row r="98" spans="1:50" x14ac:dyDescent="0.25">
      <c r="A98" s="21"/>
      <c r="B98" s="21"/>
      <c r="C98" s="27"/>
      <c r="D98" s="21"/>
      <c r="E98" s="28"/>
      <c r="F98" s="28"/>
      <c r="G98" s="21"/>
      <c r="H98" s="29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</row>
    <row r="99" spans="1:50" x14ac:dyDescent="0.25">
      <c r="A99" s="21"/>
      <c r="B99" s="21"/>
      <c r="C99" s="27"/>
      <c r="D99" s="21"/>
      <c r="E99" s="28"/>
      <c r="F99" s="28"/>
      <c r="G99" s="21"/>
      <c r="H99" s="29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</row>
    <row r="100" spans="1:50" x14ac:dyDescent="0.25">
      <c r="A100" s="21"/>
      <c r="B100" s="21"/>
      <c r="C100" s="27"/>
      <c r="D100" s="21"/>
      <c r="E100" s="28"/>
      <c r="F100" s="28"/>
      <c r="G100" s="21"/>
      <c r="H100" s="29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</row>
    <row r="101" spans="1:50" x14ac:dyDescent="0.25">
      <c r="A101" s="21"/>
      <c r="B101" s="21"/>
      <c r="C101" s="27"/>
      <c r="D101" s="21"/>
      <c r="E101" s="28"/>
      <c r="F101" s="28"/>
      <c r="G101" s="21"/>
      <c r="H101" s="29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</row>
    <row r="102" spans="1:50" x14ac:dyDescent="0.25">
      <c r="A102" s="21"/>
      <c r="B102" s="21"/>
      <c r="C102" s="27"/>
      <c r="D102" s="21"/>
      <c r="E102" s="28"/>
      <c r="F102" s="28"/>
      <c r="G102" s="21"/>
      <c r="H102" s="29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</row>
    <row r="103" spans="1:50" x14ac:dyDescent="0.25">
      <c r="A103" s="21"/>
      <c r="B103" s="21"/>
      <c r="C103" s="27"/>
      <c r="D103" s="21"/>
      <c r="E103" s="28"/>
      <c r="F103" s="28"/>
      <c r="G103" s="21"/>
      <c r="H103" s="29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</row>
    <row r="104" spans="1:50" x14ac:dyDescent="0.25">
      <c r="A104" s="21"/>
      <c r="B104" s="21"/>
      <c r="C104" s="27"/>
      <c r="D104" s="21"/>
      <c r="E104" s="28"/>
      <c r="F104" s="28"/>
      <c r="G104" s="21"/>
      <c r="H104" s="29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</row>
    <row r="105" spans="1:50" x14ac:dyDescent="0.25">
      <c r="A105" s="21"/>
      <c r="B105" s="21"/>
      <c r="C105" s="27"/>
      <c r="D105" s="21"/>
      <c r="E105" s="28"/>
      <c r="F105" s="28"/>
      <c r="G105" s="21"/>
      <c r="H105" s="29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</row>
    <row r="106" spans="1:50" x14ac:dyDescent="0.25">
      <c r="A106" s="21"/>
      <c r="B106" s="21"/>
      <c r="C106" s="27"/>
      <c r="D106" s="21"/>
      <c r="E106" s="28"/>
      <c r="F106" s="28"/>
      <c r="G106" s="21"/>
      <c r="H106" s="29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</row>
    <row r="107" spans="1:50" x14ac:dyDescent="0.25">
      <c r="A107" s="21"/>
      <c r="B107" s="21"/>
      <c r="C107" s="27"/>
      <c r="D107" s="21"/>
      <c r="E107" s="28"/>
      <c r="F107" s="28"/>
      <c r="G107" s="21"/>
      <c r="H107" s="29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</row>
    <row r="108" spans="1:50" x14ac:dyDescent="0.25">
      <c r="A108" s="21"/>
      <c r="B108" s="21"/>
      <c r="C108" s="27"/>
      <c r="D108" s="21"/>
      <c r="E108" s="28"/>
      <c r="F108" s="28"/>
      <c r="G108" s="21"/>
      <c r="H108" s="29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</row>
    <row r="109" spans="1:50" x14ac:dyDescent="0.25">
      <c r="A109" s="21"/>
      <c r="B109" s="21"/>
      <c r="C109" s="27"/>
      <c r="D109" s="21"/>
      <c r="E109" s="28"/>
      <c r="F109" s="28"/>
      <c r="G109" s="21"/>
      <c r="H109" s="29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</row>
    <row r="110" spans="1:50" x14ac:dyDescent="0.25">
      <c r="A110" s="21"/>
      <c r="B110" s="21"/>
      <c r="C110" s="27"/>
      <c r="D110" s="21"/>
      <c r="E110" s="28"/>
      <c r="F110" s="28"/>
      <c r="G110" s="21"/>
      <c r="H110" s="29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</row>
    <row r="111" spans="1:50" x14ac:dyDescent="0.25">
      <c r="A111" s="21"/>
      <c r="B111" s="21"/>
      <c r="C111" s="27"/>
      <c r="D111" s="21"/>
      <c r="E111" s="28"/>
      <c r="F111" s="28"/>
      <c r="G111" s="21"/>
      <c r="H111" s="29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</row>
    <row r="112" spans="1:50" x14ac:dyDescent="0.25">
      <c r="A112" s="21"/>
      <c r="B112" s="21"/>
      <c r="C112" s="27"/>
      <c r="D112" s="21"/>
      <c r="E112" s="28"/>
      <c r="F112" s="28"/>
      <c r="G112" s="21"/>
      <c r="H112" s="29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</row>
    <row r="113" spans="1:50" x14ac:dyDescent="0.25">
      <c r="A113" s="21"/>
      <c r="B113" s="21"/>
      <c r="C113" s="27"/>
      <c r="D113" s="21"/>
      <c r="E113" s="28"/>
      <c r="F113" s="28"/>
      <c r="G113" s="21"/>
      <c r="H113" s="29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</row>
    <row r="114" spans="1:50" x14ac:dyDescent="0.25">
      <c r="A114" s="21"/>
      <c r="B114" s="21"/>
      <c r="C114" s="27"/>
      <c r="D114" s="21"/>
      <c r="E114" s="28"/>
      <c r="F114" s="28"/>
      <c r="G114" s="21"/>
      <c r="H114" s="29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</row>
    <row r="115" spans="1:50" x14ac:dyDescent="0.25">
      <c r="A115" s="21"/>
      <c r="B115" s="21"/>
      <c r="C115" s="27"/>
      <c r="D115" s="21"/>
      <c r="E115" s="28"/>
      <c r="F115" s="28"/>
      <c r="G115" s="21"/>
      <c r="H115" s="29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</row>
    <row r="116" spans="1:50" x14ac:dyDescent="0.25">
      <c r="A116" s="21"/>
      <c r="B116" s="21"/>
      <c r="C116" s="27"/>
      <c r="D116" s="21"/>
      <c r="E116" s="28"/>
      <c r="F116" s="28"/>
      <c r="G116" s="21"/>
      <c r="H116" s="29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</row>
    <row r="117" spans="1:50" x14ac:dyDescent="0.25">
      <c r="A117" s="21"/>
      <c r="B117" s="21"/>
      <c r="C117" s="27"/>
      <c r="D117" s="21"/>
      <c r="E117" s="28"/>
      <c r="F117" s="28"/>
      <c r="G117" s="21"/>
      <c r="H117" s="29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</row>
    <row r="118" spans="1:50" x14ac:dyDescent="0.25">
      <c r="A118" s="21"/>
      <c r="B118" s="21"/>
      <c r="C118" s="27"/>
      <c r="D118" s="21"/>
      <c r="E118" s="28"/>
      <c r="F118" s="28"/>
      <c r="G118" s="21"/>
      <c r="H118" s="29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</row>
    <row r="119" spans="1:50" x14ac:dyDescent="0.25">
      <c r="A119" s="21"/>
      <c r="B119" s="21"/>
      <c r="C119" s="27"/>
      <c r="D119" s="21"/>
      <c r="E119" s="28"/>
      <c r="F119" s="28"/>
      <c r="G119" s="21"/>
      <c r="H119" s="29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</row>
    <row r="120" spans="1:50" x14ac:dyDescent="0.25">
      <c r="A120" s="21"/>
      <c r="B120" s="21"/>
      <c r="C120" s="27"/>
      <c r="D120" s="21"/>
      <c r="E120" s="28"/>
      <c r="F120" s="28"/>
      <c r="G120" s="21"/>
      <c r="H120" s="29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</row>
    <row r="121" spans="1:50" x14ac:dyDescent="0.25">
      <c r="A121" s="21"/>
      <c r="B121" s="21"/>
      <c r="C121" s="27"/>
      <c r="D121" s="21"/>
      <c r="E121" s="28"/>
      <c r="F121" s="28"/>
      <c r="G121" s="21"/>
      <c r="H121" s="29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</row>
    <row r="122" spans="1:50" x14ac:dyDescent="0.25">
      <c r="A122" s="21"/>
      <c r="B122" s="21"/>
      <c r="C122" s="27"/>
      <c r="D122" s="21"/>
      <c r="E122" s="28"/>
      <c r="F122" s="28"/>
      <c r="G122" s="21"/>
      <c r="H122" s="29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</row>
    <row r="123" spans="1:50" x14ac:dyDescent="0.25">
      <c r="A123" s="21"/>
      <c r="B123" s="21"/>
      <c r="C123" s="27"/>
      <c r="D123" s="21"/>
      <c r="E123" s="28"/>
      <c r="F123" s="28"/>
      <c r="G123" s="21"/>
      <c r="H123" s="29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</row>
    <row r="124" spans="1:50" x14ac:dyDescent="0.25">
      <c r="A124" s="21"/>
      <c r="B124" s="21"/>
      <c r="C124" s="27"/>
      <c r="D124" s="21"/>
      <c r="E124" s="28"/>
      <c r="F124" s="28"/>
      <c r="G124" s="21"/>
      <c r="H124" s="29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</row>
    <row r="125" spans="1:50" x14ac:dyDescent="0.25">
      <c r="A125" s="21"/>
      <c r="B125" s="21"/>
      <c r="C125" s="27"/>
      <c r="D125" s="21"/>
      <c r="E125" s="28"/>
      <c r="F125" s="28"/>
      <c r="G125" s="21"/>
      <c r="H125" s="29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</row>
    <row r="126" spans="1:50" x14ac:dyDescent="0.25">
      <c r="A126" s="21"/>
      <c r="B126" s="21"/>
      <c r="C126" s="27"/>
      <c r="D126" s="21"/>
      <c r="E126" s="28"/>
      <c r="F126" s="28"/>
      <c r="G126" s="21"/>
      <c r="H126" s="29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</row>
    <row r="127" spans="1:50" x14ac:dyDescent="0.25">
      <c r="A127" s="21"/>
      <c r="B127" s="21"/>
      <c r="C127" s="27"/>
      <c r="D127" s="21"/>
      <c r="E127" s="28"/>
      <c r="F127" s="28"/>
      <c r="G127" s="21"/>
      <c r="H127" s="29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</row>
    <row r="128" spans="1:50" x14ac:dyDescent="0.25">
      <c r="A128" s="21"/>
      <c r="B128" s="21"/>
      <c r="C128" s="27"/>
      <c r="D128" s="21"/>
      <c r="E128" s="28"/>
      <c r="F128" s="28"/>
      <c r="G128" s="21"/>
      <c r="H128" s="29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</row>
    <row r="129" spans="1:50" x14ac:dyDescent="0.25">
      <c r="A129" s="21"/>
      <c r="B129" s="21"/>
      <c r="C129" s="27"/>
      <c r="D129" s="21"/>
      <c r="E129" s="28"/>
      <c r="F129" s="28"/>
      <c r="G129" s="21"/>
      <c r="H129" s="29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</row>
    <row r="130" spans="1:50" x14ac:dyDescent="0.25">
      <c r="A130" s="21"/>
      <c r="B130" s="21"/>
      <c r="C130" s="27"/>
      <c r="D130" s="21"/>
      <c r="E130" s="28"/>
      <c r="F130" s="28"/>
      <c r="G130" s="21"/>
      <c r="H130" s="29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</row>
    <row r="131" spans="1:50" x14ac:dyDescent="0.25">
      <c r="A131" s="21"/>
      <c r="B131" s="21"/>
      <c r="C131" s="27"/>
      <c r="D131" s="21"/>
      <c r="E131" s="28"/>
      <c r="F131" s="28"/>
      <c r="G131" s="21"/>
      <c r="H131" s="29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</row>
    <row r="132" spans="1:50" x14ac:dyDescent="0.25">
      <c r="A132" s="21"/>
      <c r="B132" s="21"/>
      <c r="C132" s="27"/>
      <c r="D132" s="21"/>
      <c r="E132" s="28"/>
      <c r="F132" s="28"/>
      <c r="G132" s="21"/>
      <c r="H132" s="29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</row>
    <row r="133" spans="1:50" x14ac:dyDescent="0.25">
      <c r="A133" s="21"/>
      <c r="B133" s="21"/>
      <c r="C133" s="27"/>
      <c r="D133" s="21"/>
      <c r="E133" s="28"/>
      <c r="F133" s="28"/>
      <c r="G133" s="21"/>
      <c r="H133" s="29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</row>
    <row r="134" spans="1:50" x14ac:dyDescent="0.25">
      <c r="A134" s="21"/>
      <c r="B134" s="21"/>
      <c r="C134" s="27"/>
      <c r="D134" s="21"/>
      <c r="E134" s="28"/>
      <c r="F134" s="28"/>
      <c r="G134" s="21"/>
      <c r="H134" s="29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</row>
    <row r="135" spans="1:50" x14ac:dyDescent="0.25">
      <c r="A135" s="21"/>
      <c r="B135" s="21"/>
      <c r="C135" s="27"/>
      <c r="D135" s="21"/>
      <c r="E135" s="28"/>
      <c r="F135" s="28"/>
      <c r="G135" s="21"/>
      <c r="H135" s="29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</row>
    <row r="136" spans="1:50" x14ac:dyDescent="0.25">
      <c r="A136" s="21"/>
      <c r="B136" s="21"/>
      <c r="C136" s="27"/>
      <c r="D136" s="21"/>
      <c r="E136" s="28"/>
      <c r="F136" s="28"/>
      <c r="G136" s="21"/>
      <c r="H136" s="29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</row>
    <row r="137" spans="1:50" x14ac:dyDescent="0.25">
      <c r="A137" s="21"/>
      <c r="B137" s="21"/>
      <c r="C137" s="27"/>
      <c r="D137" s="21"/>
      <c r="E137" s="28"/>
      <c r="F137" s="28"/>
      <c r="G137" s="21"/>
      <c r="H137" s="29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</row>
    <row r="138" spans="1:50" x14ac:dyDescent="0.25">
      <c r="A138" s="21"/>
      <c r="B138" s="21"/>
      <c r="C138" s="27"/>
      <c r="D138" s="21"/>
      <c r="E138" s="28"/>
      <c r="F138" s="28"/>
      <c r="G138" s="21"/>
      <c r="H138" s="29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</row>
    <row r="139" spans="1:50" x14ac:dyDescent="0.25">
      <c r="A139" s="21"/>
      <c r="B139" s="21"/>
      <c r="C139" s="27"/>
      <c r="D139" s="21"/>
      <c r="E139" s="28"/>
      <c r="F139" s="28"/>
      <c r="G139" s="21"/>
      <c r="H139" s="29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</row>
    <row r="140" spans="1:50" x14ac:dyDescent="0.25">
      <c r="A140" s="21"/>
      <c r="B140" s="21"/>
      <c r="C140" s="27"/>
      <c r="D140" s="21"/>
      <c r="E140" s="28"/>
      <c r="F140" s="28"/>
      <c r="G140" s="21"/>
      <c r="H140" s="29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</row>
    <row r="141" spans="1:50" x14ac:dyDescent="0.25">
      <c r="A141" s="21"/>
      <c r="B141" s="21"/>
      <c r="C141" s="27"/>
      <c r="D141" s="21"/>
      <c r="E141" s="28"/>
      <c r="F141" s="28"/>
      <c r="G141" s="21"/>
      <c r="H141" s="29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</row>
    <row r="142" spans="1:50" x14ac:dyDescent="0.25">
      <c r="A142" s="21"/>
      <c r="B142" s="21"/>
      <c r="C142" s="27"/>
      <c r="D142" s="21"/>
      <c r="E142" s="28"/>
      <c r="F142" s="28"/>
      <c r="G142" s="21"/>
      <c r="H142" s="29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</row>
    <row r="143" spans="1:50" x14ac:dyDescent="0.25">
      <c r="A143" s="21"/>
      <c r="B143" s="21"/>
      <c r="C143" s="27"/>
      <c r="D143" s="21"/>
      <c r="E143" s="28"/>
      <c r="F143" s="28"/>
      <c r="G143" s="21"/>
      <c r="H143" s="29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</row>
    <row r="144" spans="1:50" x14ac:dyDescent="0.25">
      <c r="A144" s="21"/>
      <c r="B144" s="21"/>
      <c r="C144" s="27"/>
      <c r="D144" s="21"/>
      <c r="E144" s="28"/>
      <c r="F144" s="28"/>
      <c r="G144" s="21"/>
      <c r="H144" s="29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</row>
    <row r="145" spans="1:50" x14ac:dyDescent="0.25">
      <c r="A145" s="21"/>
      <c r="B145" s="21"/>
      <c r="C145" s="27"/>
      <c r="D145" s="21"/>
      <c r="E145" s="28"/>
      <c r="F145" s="28"/>
      <c r="G145" s="21"/>
      <c r="H145" s="29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</row>
    <row r="146" spans="1:50" x14ac:dyDescent="0.25">
      <c r="A146" s="21"/>
      <c r="B146" s="21"/>
      <c r="C146" s="27"/>
      <c r="D146" s="21"/>
      <c r="E146" s="28"/>
      <c r="F146" s="28"/>
      <c r="G146" s="21"/>
      <c r="H146" s="29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</row>
    <row r="147" spans="1:50" x14ac:dyDescent="0.25">
      <c r="A147" s="21"/>
      <c r="B147" s="21"/>
      <c r="C147" s="27"/>
      <c r="D147" s="21"/>
      <c r="E147" s="28"/>
      <c r="F147" s="28"/>
      <c r="G147" s="21"/>
      <c r="H147" s="29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</row>
    <row r="148" spans="1:50" x14ac:dyDescent="0.25">
      <c r="A148" s="21"/>
      <c r="B148" s="21"/>
      <c r="C148" s="27"/>
      <c r="D148" s="21"/>
      <c r="E148" s="28"/>
      <c r="F148" s="28"/>
      <c r="G148" s="21"/>
      <c r="H148" s="29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</row>
    <row r="149" spans="1:50" x14ac:dyDescent="0.25">
      <c r="A149" s="21"/>
      <c r="B149" s="21"/>
      <c r="C149" s="27"/>
      <c r="D149" s="21"/>
      <c r="E149" s="28"/>
      <c r="F149" s="28"/>
      <c r="G149" s="21"/>
      <c r="H149" s="29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</row>
    <row r="150" spans="1:50" x14ac:dyDescent="0.25">
      <c r="A150" s="21"/>
      <c r="B150" s="21"/>
      <c r="C150" s="27"/>
      <c r="D150" s="21"/>
      <c r="E150" s="28"/>
      <c r="F150" s="28"/>
      <c r="G150" s="21"/>
      <c r="H150" s="29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</row>
    <row r="151" spans="1:50" x14ac:dyDescent="0.25">
      <c r="A151" s="21"/>
      <c r="B151" s="21"/>
      <c r="C151" s="27"/>
      <c r="D151" s="21"/>
      <c r="E151" s="28"/>
      <c r="F151" s="28"/>
      <c r="G151" s="21"/>
      <c r="H151" s="29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</row>
    <row r="152" spans="1:50" x14ac:dyDescent="0.25">
      <c r="A152" s="21"/>
      <c r="B152" s="21"/>
      <c r="C152" s="27"/>
      <c r="D152" s="21"/>
      <c r="E152" s="28"/>
      <c r="F152" s="28"/>
      <c r="G152" s="21"/>
      <c r="H152" s="29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</row>
    <row r="153" spans="1:50" x14ac:dyDescent="0.25">
      <c r="A153" s="21"/>
      <c r="B153" s="21"/>
      <c r="C153" s="27"/>
      <c r="D153" s="21"/>
      <c r="E153" s="28"/>
      <c r="F153" s="28"/>
      <c r="G153" s="21"/>
      <c r="H153" s="29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</row>
    <row r="154" spans="1:50" x14ac:dyDescent="0.25">
      <c r="A154" s="21"/>
      <c r="B154" s="21"/>
      <c r="C154" s="27"/>
      <c r="D154" s="21"/>
      <c r="E154" s="28"/>
      <c r="F154" s="28"/>
      <c r="G154" s="21"/>
      <c r="H154" s="29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</row>
    <row r="155" spans="1:50" x14ac:dyDescent="0.25">
      <c r="A155" s="21"/>
      <c r="B155" s="21"/>
      <c r="C155" s="27"/>
      <c r="D155" s="21"/>
      <c r="E155" s="28"/>
      <c r="F155" s="28"/>
      <c r="G155" s="21"/>
      <c r="H155" s="29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</row>
    <row r="156" spans="1:50" x14ac:dyDescent="0.25">
      <c r="A156" s="21"/>
      <c r="B156" s="21"/>
      <c r="C156" s="27"/>
      <c r="D156" s="21"/>
      <c r="E156" s="28"/>
      <c r="F156" s="28"/>
      <c r="G156" s="21"/>
      <c r="H156" s="29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</row>
    <row r="157" spans="1:50" x14ac:dyDescent="0.25">
      <c r="A157" s="21"/>
      <c r="B157" s="21"/>
      <c r="C157" s="27"/>
      <c r="D157" s="21"/>
      <c r="E157" s="28"/>
      <c r="F157" s="28"/>
      <c r="G157" s="21"/>
      <c r="H157" s="29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</row>
    <row r="158" spans="1:50" x14ac:dyDescent="0.25">
      <c r="A158" s="21"/>
      <c r="B158" s="21"/>
      <c r="C158" s="27"/>
      <c r="D158" s="21"/>
      <c r="E158" s="28"/>
      <c r="F158" s="28"/>
      <c r="G158" s="21"/>
      <c r="H158" s="29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</row>
    <row r="159" spans="1:50" x14ac:dyDescent="0.25">
      <c r="A159" s="21"/>
      <c r="B159" s="21"/>
      <c r="C159" s="27"/>
      <c r="D159" s="21"/>
      <c r="E159" s="28"/>
      <c r="F159" s="28"/>
      <c r="G159" s="21"/>
      <c r="H159" s="29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</row>
    <row r="160" spans="1:50" x14ac:dyDescent="0.25">
      <c r="A160" s="21"/>
      <c r="B160" s="21"/>
      <c r="C160" s="27"/>
      <c r="D160" s="21"/>
      <c r="E160" s="28"/>
      <c r="F160" s="28"/>
      <c r="G160" s="21"/>
      <c r="H160" s="29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</row>
    <row r="161" spans="1:50" x14ac:dyDescent="0.25">
      <c r="A161" s="21"/>
      <c r="B161" s="21"/>
      <c r="C161" s="27"/>
      <c r="D161" s="21"/>
      <c r="E161" s="28"/>
      <c r="F161" s="28"/>
      <c r="G161" s="21"/>
      <c r="H161" s="29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</row>
    <row r="162" spans="1:50" x14ac:dyDescent="0.25">
      <c r="A162" s="21"/>
      <c r="B162" s="21"/>
      <c r="C162" s="27"/>
      <c r="D162" s="21"/>
      <c r="E162" s="28"/>
      <c r="F162" s="28"/>
      <c r="G162" s="21"/>
      <c r="H162" s="29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</row>
    <row r="163" spans="1:50" x14ac:dyDescent="0.25">
      <c r="A163" s="21"/>
      <c r="B163" s="21"/>
      <c r="C163" s="27"/>
      <c r="D163" s="21"/>
      <c r="E163" s="28"/>
      <c r="F163" s="28"/>
      <c r="G163" s="21"/>
      <c r="H163" s="29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</row>
    <row r="164" spans="1:50" x14ac:dyDescent="0.25">
      <c r="A164" s="21"/>
      <c r="B164" s="21"/>
      <c r="C164" s="27"/>
      <c r="D164" s="21"/>
      <c r="E164" s="28"/>
      <c r="F164" s="28"/>
      <c r="G164" s="21"/>
      <c r="H164" s="29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</row>
    <row r="165" spans="1:50" x14ac:dyDescent="0.25">
      <c r="A165" s="21"/>
      <c r="B165" s="21"/>
      <c r="C165" s="27"/>
      <c r="D165" s="21"/>
      <c r="E165" s="28"/>
      <c r="F165" s="28"/>
      <c r="G165" s="21"/>
      <c r="H165" s="29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</row>
    <row r="166" spans="1:50" x14ac:dyDescent="0.25">
      <c r="A166" s="21"/>
      <c r="B166" s="21"/>
      <c r="C166" s="27"/>
      <c r="D166" s="21"/>
      <c r="E166" s="28"/>
      <c r="F166" s="28"/>
      <c r="G166" s="21"/>
      <c r="H166" s="29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</row>
    <row r="167" spans="1:50" x14ac:dyDescent="0.25">
      <c r="A167" s="21"/>
      <c r="B167" s="21"/>
      <c r="C167" s="27"/>
      <c r="D167" s="21"/>
      <c r="E167" s="28"/>
      <c r="F167" s="28"/>
      <c r="G167" s="21"/>
      <c r="H167" s="29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</row>
    <row r="168" spans="1:50" x14ac:dyDescent="0.25">
      <c r="A168" s="21"/>
      <c r="B168" s="21"/>
      <c r="C168" s="27"/>
      <c r="D168" s="21"/>
      <c r="E168" s="28"/>
      <c r="F168" s="28"/>
      <c r="G168" s="21"/>
      <c r="H168" s="29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</row>
    <row r="169" spans="1:50" x14ac:dyDescent="0.25">
      <c r="A169" s="21"/>
      <c r="B169" s="21"/>
      <c r="C169" s="27"/>
      <c r="D169" s="21"/>
      <c r="E169" s="28"/>
      <c r="F169" s="28"/>
      <c r="G169" s="21"/>
      <c r="H169" s="29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</row>
    <row r="170" spans="1:50" x14ac:dyDescent="0.25">
      <c r="A170" s="21"/>
      <c r="B170" s="21"/>
      <c r="C170" s="27"/>
      <c r="D170" s="21"/>
      <c r="E170" s="28"/>
      <c r="F170" s="28"/>
      <c r="G170" s="21"/>
      <c r="H170" s="29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</row>
    <row r="171" spans="1:50" x14ac:dyDescent="0.25">
      <c r="A171" s="21"/>
      <c r="B171" s="21"/>
      <c r="C171" s="27"/>
      <c r="D171" s="21"/>
      <c r="E171" s="28"/>
      <c r="F171" s="28"/>
      <c r="G171" s="21"/>
      <c r="H171" s="29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</row>
    <row r="172" spans="1:50" x14ac:dyDescent="0.25">
      <c r="A172" s="21"/>
      <c r="B172" s="21"/>
      <c r="C172" s="27"/>
      <c r="D172" s="21"/>
      <c r="E172" s="28"/>
      <c r="F172" s="28"/>
      <c r="G172" s="21"/>
      <c r="H172" s="29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</row>
    <row r="173" spans="1:50" x14ac:dyDescent="0.25">
      <c r="A173" s="21"/>
      <c r="B173" s="21"/>
      <c r="C173" s="27"/>
      <c r="D173" s="21"/>
      <c r="E173" s="28"/>
      <c r="F173" s="28"/>
      <c r="G173" s="21"/>
      <c r="H173" s="29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</row>
    <row r="174" spans="1:50" x14ac:dyDescent="0.25">
      <c r="A174" s="21"/>
      <c r="B174" s="21"/>
      <c r="C174" s="27"/>
      <c r="D174" s="21"/>
      <c r="E174" s="28"/>
      <c r="F174" s="28"/>
      <c r="G174" s="21"/>
      <c r="H174" s="29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</row>
    <row r="175" spans="1:50" x14ac:dyDescent="0.25">
      <c r="A175" s="21"/>
      <c r="B175" s="21"/>
      <c r="C175" s="27"/>
      <c r="D175" s="21"/>
      <c r="E175" s="28"/>
      <c r="F175" s="28"/>
      <c r="G175" s="21"/>
      <c r="H175" s="29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</row>
    <row r="176" spans="1:50" x14ac:dyDescent="0.25">
      <c r="A176" s="21"/>
      <c r="B176" s="21"/>
      <c r="C176" s="27"/>
      <c r="D176" s="21"/>
      <c r="E176" s="28"/>
      <c r="F176" s="28"/>
      <c r="G176" s="21"/>
      <c r="H176" s="29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</row>
    <row r="177" spans="1:50" x14ac:dyDescent="0.25">
      <c r="A177" s="21"/>
      <c r="B177" s="21"/>
      <c r="C177" s="27"/>
      <c r="D177" s="21"/>
      <c r="E177" s="28"/>
      <c r="F177" s="28"/>
      <c r="G177" s="21"/>
      <c r="H177" s="29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</row>
    <row r="178" spans="1:50" x14ac:dyDescent="0.25">
      <c r="A178" s="21"/>
      <c r="B178" s="21"/>
      <c r="C178" s="27"/>
      <c r="D178" s="21"/>
      <c r="E178" s="28"/>
      <c r="F178" s="28"/>
      <c r="G178" s="21"/>
      <c r="H178" s="29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</row>
    <row r="179" spans="1:50" x14ac:dyDescent="0.25">
      <c r="A179" s="21"/>
      <c r="B179" s="21"/>
      <c r="C179" s="27"/>
      <c r="D179" s="21"/>
      <c r="E179" s="28"/>
      <c r="F179" s="28"/>
      <c r="G179" s="21"/>
      <c r="H179" s="29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</row>
    <row r="180" spans="1:50" x14ac:dyDescent="0.25">
      <c r="A180" s="21"/>
      <c r="B180" s="21"/>
      <c r="C180" s="27"/>
      <c r="D180" s="21"/>
      <c r="E180" s="28"/>
      <c r="F180" s="28"/>
      <c r="G180" s="21"/>
      <c r="H180" s="29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</row>
    <row r="181" spans="1:50" x14ac:dyDescent="0.25">
      <c r="A181" s="21"/>
      <c r="B181" s="21"/>
      <c r="C181" s="27"/>
      <c r="D181" s="21"/>
      <c r="E181" s="28"/>
      <c r="F181" s="28"/>
      <c r="G181" s="21"/>
      <c r="H181" s="29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</row>
    <row r="182" spans="1:50" x14ac:dyDescent="0.25">
      <c r="A182" s="21"/>
      <c r="B182" s="21"/>
      <c r="C182" s="27"/>
      <c r="D182" s="21"/>
      <c r="E182" s="28"/>
      <c r="F182" s="28"/>
      <c r="G182" s="21"/>
      <c r="H182" s="29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</row>
    <row r="183" spans="1:50" x14ac:dyDescent="0.25">
      <c r="A183" s="21"/>
      <c r="B183" s="21"/>
      <c r="C183" s="27"/>
      <c r="D183" s="21"/>
      <c r="E183" s="28"/>
      <c r="F183" s="28"/>
      <c r="G183" s="21"/>
      <c r="H183" s="29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</row>
    <row r="184" spans="1:50" x14ac:dyDescent="0.25">
      <c r="A184" s="21"/>
      <c r="B184" s="21"/>
      <c r="C184" s="27"/>
      <c r="D184" s="21"/>
      <c r="E184" s="28"/>
      <c r="F184" s="28"/>
      <c r="G184" s="21"/>
      <c r="H184" s="29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</row>
    <row r="185" spans="1:50" x14ac:dyDescent="0.25">
      <c r="A185" s="21"/>
      <c r="B185" s="21"/>
      <c r="C185" s="27"/>
      <c r="D185" s="21"/>
      <c r="E185" s="28"/>
      <c r="F185" s="28"/>
      <c r="G185" s="21"/>
      <c r="H185" s="29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</row>
    <row r="186" spans="1:50" x14ac:dyDescent="0.25">
      <c r="A186" s="21"/>
      <c r="B186" s="21"/>
      <c r="C186" s="27"/>
      <c r="D186" s="21"/>
      <c r="E186" s="28"/>
      <c r="F186" s="28"/>
      <c r="G186" s="21"/>
      <c r="H186" s="29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</row>
    <row r="187" spans="1:50" x14ac:dyDescent="0.25">
      <c r="A187" s="21"/>
      <c r="B187" s="21"/>
      <c r="C187" s="27"/>
      <c r="D187" s="21"/>
      <c r="E187" s="28"/>
      <c r="F187" s="28"/>
      <c r="G187" s="21"/>
      <c r="H187" s="29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</row>
    <row r="188" spans="1:50" x14ac:dyDescent="0.25">
      <c r="A188" s="21"/>
      <c r="B188" s="21"/>
      <c r="C188" s="27"/>
      <c r="D188" s="21"/>
      <c r="E188" s="28"/>
      <c r="F188" s="28"/>
      <c r="G188" s="21"/>
      <c r="H188" s="29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</row>
    <row r="189" spans="1:50" x14ac:dyDescent="0.25">
      <c r="A189" s="21"/>
      <c r="B189" s="21"/>
      <c r="C189" s="27"/>
      <c r="D189" s="21"/>
      <c r="E189" s="28"/>
      <c r="F189" s="28"/>
      <c r="G189" s="21"/>
      <c r="H189" s="29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</row>
    <row r="190" spans="1:50" x14ac:dyDescent="0.25">
      <c r="A190" s="21"/>
      <c r="B190" s="21"/>
      <c r="C190" s="27"/>
      <c r="D190" s="21"/>
      <c r="E190" s="28"/>
      <c r="F190" s="28"/>
      <c r="G190" s="21"/>
      <c r="H190" s="29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</row>
    <row r="191" spans="1:50" x14ac:dyDescent="0.25">
      <c r="A191" s="21"/>
      <c r="B191" s="21"/>
      <c r="C191" s="27"/>
      <c r="D191" s="21"/>
      <c r="E191" s="28"/>
      <c r="F191" s="28"/>
      <c r="G191" s="21"/>
      <c r="H191" s="29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</row>
    <row r="192" spans="1:50" x14ac:dyDescent="0.25">
      <c r="A192" s="21"/>
      <c r="B192" s="21"/>
      <c r="C192" s="27"/>
      <c r="D192" s="21"/>
      <c r="E192" s="28"/>
      <c r="F192" s="28"/>
      <c r="G192" s="21"/>
      <c r="H192" s="29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</row>
    <row r="193" spans="1:50" x14ac:dyDescent="0.25">
      <c r="A193" s="21"/>
      <c r="B193" s="21"/>
      <c r="C193" s="27"/>
      <c r="D193" s="21"/>
      <c r="E193" s="28"/>
      <c r="F193" s="28"/>
      <c r="G193" s="21"/>
      <c r="H193" s="29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</row>
    <row r="194" spans="1:50" x14ac:dyDescent="0.25">
      <c r="A194" s="21"/>
      <c r="B194" s="21"/>
      <c r="C194" s="27"/>
      <c r="D194" s="21"/>
      <c r="E194" s="28"/>
      <c r="F194" s="28"/>
      <c r="G194" s="21"/>
      <c r="H194" s="29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</row>
    <row r="195" spans="1:50" x14ac:dyDescent="0.25">
      <c r="A195" s="21"/>
      <c r="B195" s="21"/>
      <c r="C195" s="27"/>
      <c r="D195" s="21"/>
      <c r="E195" s="28"/>
      <c r="F195" s="28"/>
      <c r="G195" s="21"/>
      <c r="H195" s="29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</row>
    <row r="196" spans="1:50" x14ac:dyDescent="0.25">
      <c r="A196" s="21"/>
      <c r="B196" s="21"/>
      <c r="C196" s="27"/>
      <c r="D196" s="21"/>
      <c r="E196" s="28"/>
      <c r="F196" s="28"/>
      <c r="G196" s="21"/>
      <c r="H196" s="29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</row>
    <row r="197" spans="1:50" x14ac:dyDescent="0.25">
      <c r="A197" s="21"/>
      <c r="B197" s="21"/>
      <c r="C197" s="27"/>
      <c r="D197" s="21"/>
      <c r="E197" s="28"/>
      <c r="F197" s="28"/>
      <c r="G197" s="21"/>
      <c r="H197" s="29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</row>
    <row r="198" spans="1:50" x14ac:dyDescent="0.25">
      <c r="A198" s="21"/>
      <c r="B198" s="21"/>
      <c r="C198" s="27"/>
      <c r="D198" s="21"/>
      <c r="E198" s="28"/>
      <c r="F198" s="28"/>
      <c r="G198" s="21"/>
      <c r="H198" s="29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</row>
    <row r="199" spans="1:50" x14ac:dyDescent="0.25">
      <c r="A199" s="21"/>
      <c r="B199" s="21"/>
      <c r="C199" s="27"/>
      <c r="D199" s="21"/>
      <c r="E199" s="28"/>
      <c r="F199" s="28"/>
      <c r="G199" s="21"/>
      <c r="H199" s="29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</row>
    <row r="200" spans="1:50" x14ac:dyDescent="0.25">
      <c r="A200" s="21"/>
      <c r="B200" s="21"/>
      <c r="C200" s="27"/>
      <c r="D200" s="21"/>
      <c r="E200" s="28"/>
      <c r="F200" s="28"/>
      <c r="G200" s="21"/>
      <c r="H200" s="29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</row>
    <row r="201" spans="1:50" x14ac:dyDescent="0.25">
      <c r="A201" s="21"/>
      <c r="B201" s="21"/>
      <c r="C201" s="27"/>
      <c r="D201" s="21"/>
      <c r="E201" s="28"/>
      <c r="F201" s="28"/>
      <c r="G201" s="21"/>
      <c r="H201" s="29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</row>
    <row r="202" spans="1:50" x14ac:dyDescent="0.25">
      <c r="A202" s="21"/>
      <c r="B202" s="21"/>
      <c r="C202" s="27"/>
      <c r="D202" s="21"/>
      <c r="E202" s="28"/>
      <c r="F202" s="28"/>
      <c r="G202" s="21"/>
      <c r="H202" s="29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</row>
    <row r="203" spans="1:50" x14ac:dyDescent="0.25">
      <c r="A203" s="21"/>
      <c r="B203" s="21"/>
      <c r="C203" s="27"/>
      <c r="D203" s="21"/>
      <c r="E203" s="28"/>
      <c r="F203" s="28"/>
      <c r="G203" s="21"/>
      <c r="H203" s="29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</row>
    <row r="204" spans="1:50" x14ac:dyDescent="0.25">
      <c r="A204" s="21"/>
      <c r="B204" s="21"/>
      <c r="C204" s="27"/>
      <c r="D204" s="21"/>
      <c r="E204" s="28"/>
      <c r="F204" s="28"/>
      <c r="G204" s="21"/>
      <c r="H204" s="29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</row>
    <row r="205" spans="1:50" x14ac:dyDescent="0.25">
      <c r="A205" s="21"/>
      <c r="B205" s="21"/>
      <c r="C205" s="27"/>
      <c r="D205" s="21"/>
      <c r="E205" s="28"/>
      <c r="F205" s="28"/>
      <c r="G205" s="21"/>
      <c r="H205" s="29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</row>
    <row r="206" spans="1:50" x14ac:dyDescent="0.25">
      <c r="A206" s="21"/>
      <c r="B206" s="21"/>
      <c r="C206" s="27"/>
      <c r="D206" s="21"/>
      <c r="E206" s="28"/>
      <c r="F206" s="28"/>
      <c r="G206" s="21"/>
      <c r="H206" s="29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</row>
    <row r="207" spans="1:50" x14ac:dyDescent="0.25">
      <c r="A207" s="21"/>
      <c r="B207" s="21"/>
      <c r="C207" s="27"/>
      <c r="D207" s="21"/>
      <c r="E207" s="28"/>
      <c r="F207" s="28"/>
      <c r="G207" s="21"/>
      <c r="H207" s="29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</row>
    <row r="208" spans="1:50" x14ac:dyDescent="0.25">
      <c r="A208" s="21"/>
      <c r="B208" s="21"/>
      <c r="C208" s="27"/>
      <c r="D208" s="21"/>
      <c r="E208" s="28"/>
      <c r="F208" s="28"/>
      <c r="G208" s="21"/>
      <c r="H208" s="29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</row>
    <row r="209" spans="1:50" x14ac:dyDescent="0.25">
      <c r="A209" s="21"/>
      <c r="B209" s="21"/>
      <c r="C209" s="27"/>
      <c r="D209" s="21"/>
      <c r="E209" s="28"/>
      <c r="F209" s="28"/>
      <c r="G209" s="21"/>
      <c r="H209" s="29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</row>
    <row r="210" spans="1:50" x14ac:dyDescent="0.25">
      <c r="A210" s="21"/>
      <c r="B210" s="21"/>
      <c r="C210" s="27"/>
      <c r="D210" s="21"/>
      <c r="E210" s="28"/>
      <c r="F210" s="28"/>
      <c r="G210" s="21"/>
      <c r="H210" s="29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</row>
    <row r="211" spans="1:50" x14ac:dyDescent="0.25">
      <c r="A211" s="21"/>
      <c r="B211" s="21"/>
      <c r="C211" s="27"/>
      <c r="D211" s="21"/>
      <c r="E211" s="28"/>
      <c r="F211" s="28"/>
      <c r="G211" s="21"/>
      <c r="H211" s="29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</row>
    <row r="212" spans="1:50" x14ac:dyDescent="0.25">
      <c r="A212" s="21"/>
      <c r="B212" s="21"/>
      <c r="C212" s="27"/>
      <c r="D212" s="21"/>
      <c r="E212" s="28"/>
      <c r="F212" s="28"/>
      <c r="G212" s="21"/>
      <c r="H212" s="29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</row>
    <row r="213" spans="1:50" x14ac:dyDescent="0.25">
      <c r="A213" s="21"/>
      <c r="B213" s="21"/>
      <c r="C213" s="27"/>
      <c r="D213" s="21"/>
      <c r="E213" s="28"/>
      <c r="F213" s="28"/>
      <c r="G213" s="21"/>
      <c r="H213" s="29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</row>
    <row r="214" spans="1:50" x14ac:dyDescent="0.25">
      <c r="A214" s="21"/>
      <c r="B214" s="21"/>
      <c r="C214" s="27"/>
      <c r="D214" s="21"/>
      <c r="E214" s="28"/>
      <c r="F214" s="28"/>
      <c r="G214" s="21"/>
      <c r="H214" s="29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</row>
    <row r="215" spans="1:50" x14ac:dyDescent="0.25">
      <c r="A215" s="21"/>
      <c r="B215" s="21"/>
      <c r="C215" s="27"/>
      <c r="D215" s="21"/>
      <c r="E215" s="28"/>
      <c r="F215" s="28"/>
      <c r="G215" s="21"/>
      <c r="H215" s="29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</row>
    <row r="216" spans="1:50" x14ac:dyDescent="0.25">
      <c r="A216" s="21"/>
      <c r="B216" s="21"/>
      <c r="C216" s="27"/>
      <c r="D216" s="21"/>
      <c r="E216" s="28"/>
      <c r="F216" s="28"/>
      <c r="G216" s="21"/>
      <c r="H216" s="29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</row>
    <row r="217" spans="1:50" x14ac:dyDescent="0.25">
      <c r="A217" s="21"/>
      <c r="B217" s="21"/>
      <c r="C217" s="27"/>
      <c r="D217" s="21"/>
      <c r="E217" s="28"/>
      <c r="F217" s="28"/>
      <c r="G217" s="21"/>
      <c r="H217" s="29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</row>
    <row r="218" spans="1:50" x14ac:dyDescent="0.25">
      <c r="A218" s="21"/>
      <c r="B218" s="21"/>
      <c r="C218" s="27"/>
      <c r="D218" s="21"/>
      <c r="E218" s="28"/>
      <c r="F218" s="28"/>
      <c r="G218" s="21"/>
      <c r="H218" s="29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</row>
    <row r="219" spans="1:50" x14ac:dyDescent="0.25">
      <c r="A219" s="21"/>
      <c r="B219" s="21"/>
      <c r="C219" s="27"/>
      <c r="D219" s="21"/>
      <c r="E219" s="28"/>
      <c r="F219" s="28"/>
      <c r="G219" s="21"/>
      <c r="H219" s="29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</row>
    <row r="220" spans="1:50" x14ac:dyDescent="0.25">
      <c r="A220" s="21"/>
      <c r="B220" s="21"/>
      <c r="C220" s="27"/>
      <c r="D220" s="21"/>
      <c r="E220" s="28"/>
      <c r="F220" s="28"/>
      <c r="G220" s="21"/>
      <c r="H220" s="29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</row>
    <row r="221" spans="1:50" x14ac:dyDescent="0.25">
      <c r="A221" s="21"/>
      <c r="B221" s="21"/>
      <c r="C221" s="27"/>
      <c r="D221" s="21"/>
      <c r="E221" s="28"/>
      <c r="F221" s="28"/>
      <c r="G221" s="21"/>
      <c r="H221" s="29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</row>
    <row r="222" spans="1:50" x14ac:dyDescent="0.25">
      <c r="A222" s="21"/>
      <c r="B222" s="21"/>
      <c r="C222" s="27"/>
      <c r="D222" s="21"/>
      <c r="E222" s="28"/>
      <c r="F222" s="28"/>
      <c r="G222" s="21"/>
      <c r="H222" s="29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</row>
    <row r="223" spans="1:50" x14ac:dyDescent="0.25">
      <c r="A223" s="21"/>
      <c r="B223" s="21"/>
      <c r="C223" s="27"/>
      <c r="D223" s="21"/>
      <c r="E223" s="28"/>
      <c r="F223" s="28"/>
      <c r="G223" s="21"/>
      <c r="H223" s="29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</row>
    <row r="224" spans="1:50" x14ac:dyDescent="0.25">
      <c r="A224" s="21"/>
      <c r="B224" s="21"/>
      <c r="C224" s="27"/>
      <c r="D224" s="21"/>
      <c r="E224" s="28"/>
      <c r="F224" s="28"/>
      <c r="G224" s="21"/>
      <c r="H224" s="29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</row>
    <row r="225" spans="1:50" x14ac:dyDescent="0.25">
      <c r="A225" s="21"/>
      <c r="B225" s="21"/>
      <c r="C225" s="27"/>
      <c r="D225" s="21"/>
      <c r="E225" s="28"/>
      <c r="F225" s="28"/>
      <c r="G225" s="21"/>
      <c r="H225" s="29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</row>
    <row r="226" spans="1:50" x14ac:dyDescent="0.25">
      <c r="A226" s="21"/>
      <c r="B226" s="21"/>
      <c r="C226" s="27"/>
      <c r="D226" s="21"/>
      <c r="E226" s="28"/>
      <c r="F226" s="28"/>
      <c r="G226" s="21"/>
      <c r="H226" s="29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</row>
    <row r="227" spans="1:50" x14ac:dyDescent="0.25">
      <c r="A227" s="21"/>
      <c r="B227" s="21"/>
      <c r="C227" s="27"/>
      <c r="D227" s="21"/>
      <c r="E227" s="28"/>
      <c r="F227" s="28"/>
      <c r="G227" s="21"/>
      <c r="H227" s="29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</row>
    <row r="228" spans="1:50" x14ac:dyDescent="0.25">
      <c r="A228" s="21"/>
      <c r="B228" s="21"/>
      <c r="C228" s="27"/>
      <c r="D228" s="21"/>
      <c r="E228" s="28"/>
      <c r="F228" s="28"/>
      <c r="G228" s="21"/>
      <c r="H228" s="29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</row>
    <row r="229" spans="1:50" x14ac:dyDescent="0.25">
      <c r="A229" s="21"/>
      <c r="B229" s="21"/>
      <c r="C229" s="27"/>
      <c r="D229" s="21"/>
      <c r="E229" s="28"/>
      <c r="F229" s="28"/>
      <c r="G229" s="21"/>
      <c r="H229" s="29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</row>
    <row r="230" spans="1:50" x14ac:dyDescent="0.25">
      <c r="A230" s="21"/>
      <c r="B230" s="21"/>
      <c r="C230" s="27"/>
      <c r="D230" s="21"/>
      <c r="E230" s="28"/>
      <c r="F230" s="28"/>
      <c r="G230" s="21"/>
      <c r="H230" s="29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</row>
    <row r="231" spans="1:50" x14ac:dyDescent="0.25">
      <c r="A231" s="21"/>
      <c r="B231" s="21"/>
      <c r="C231" s="27"/>
      <c r="D231" s="21"/>
      <c r="E231" s="28"/>
      <c r="F231" s="28"/>
      <c r="G231" s="21"/>
      <c r="H231" s="29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</row>
    <row r="232" spans="1:50" x14ac:dyDescent="0.25">
      <c r="A232" s="21"/>
      <c r="B232" s="21"/>
      <c r="C232" s="27"/>
      <c r="D232" s="21"/>
      <c r="E232" s="28"/>
      <c r="F232" s="28"/>
      <c r="G232" s="21"/>
      <c r="H232" s="29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</row>
    <row r="233" spans="1:50" x14ac:dyDescent="0.25">
      <c r="A233" s="21"/>
      <c r="B233" s="21"/>
      <c r="C233" s="27"/>
      <c r="D233" s="21"/>
      <c r="E233" s="28"/>
      <c r="F233" s="28"/>
      <c r="G233" s="21"/>
      <c r="H233" s="29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</row>
    <row r="234" spans="1:50" x14ac:dyDescent="0.25">
      <c r="A234" s="21"/>
      <c r="B234" s="21"/>
      <c r="C234" s="27"/>
      <c r="D234" s="21"/>
      <c r="E234" s="28"/>
      <c r="F234" s="28"/>
      <c r="G234" s="21"/>
      <c r="H234" s="29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</row>
    <row r="235" spans="1:50" x14ac:dyDescent="0.25">
      <c r="A235" s="21"/>
      <c r="B235" s="21"/>
      <c r="C235" s="27"/>
      <c r="D235" s="21"/>
      <c r="E235" s="28"/>
      <c r="F235" s="28"/>
      <c r="G235" s="21"/>
      <c r="H235" s="29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</row>
    <row r="236" spans="1:50" x14ac:dyDescent="0.25">
      <c r="A236" s="21"/>
      <c r="B236" s="21"/>
      <c r="C236" s="27"/>
      <c r="D236" s="21"/>
      <c r="E236" s="28"/>
      <c r="F236" s="28"/>
      <c r="G236" s="21"/>
      <c r="H236" s="29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</row>
    <row r="237" spans="1:50" x14ac:dyDescent="0.25">
      <c r="A237" s="21"/>
      <c r="B237" s="21"/>
      <c r="C237" s="27"/>
      <c r="D237" s="21"/>
      <c r="E237" s="28"/>
      <c r="F237" s="28"/>
      <c r="G237" s="21"/>
      <c r="H237" s="29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</row>
    <row r="238" spans="1:50" x14ac:dyDescent="0.25">
      <c r="A238" s="21"/>
      <c r="B238" s="21"/>
      <c r="C238" s="27"/>
      <c r="D238" s="21"/>
      <c r="E238" s="28"/>
      <c r="F238" s="28"/>
      <c r="G238" s="21"/>
      <c r="H238" s="29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</row>
    <row r="239" spans="1:50" x14ac:dyDescent="0.25">
      <c r="A239" s="21"/>
      <c r="B239" s="21"/>
      <c r="C239" s="27"/>
      <c r="D239" s="21"/>
      <c r="E239" s="28"/>
      <c r="F239" s="28"/>
      <c r="G239" s="21"/>
      <c r="H239" s="29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</row>
    <row r="240" spans="1:50" x14ac:dyDescent="0.25">
      <c r="A240" s="21"/>
      <c r="B240" s="21"/>
      <c r="C240" s="27"/>
      <c r="D240" s="21"/>
      <c r="E240" s="28"/>
      <c r="F240" s="28"/>
      <c r="G240" s="21"/>
      <c r="H240" s="29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</row>
    <row r="241" spans="1:50" x14ac:dyDescent="0.25">
      <c r="A241" s="21"/>
      <c r="B241" s="21"/>
      <c r="C241" s="27"/>
      <c r="D241" s="21"/>
      <c r="E241" s="28"/>
      <c r="F241" s="28"/>
      <c r="G241" s="21"/>
      <c r="H241" s="29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</row>
    <row r="242" spans="1:50" x14ac:dyDescent="0.25">
      <c r="A242" s="21"/>
      <c r="B242" s="21"/>
      <c r="C242" s="27"/>
      <c r="D242" s="21"/>
      <c r="E242" s="28"/>
      <c r="F242" s="28"/>
      <c r="G242" s="21"/>
      <c r="H242" s="29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</row>
    <row r="243" spans="1:50" x14ac:dyDescent="0.25">
      <c r="A243" s="21"/>
      <c r="B243" s="21"/>
      <c r="C243" s="27"/>
      <c r="D243" s="21"/>
      <c r="E243" s="28"/>
      <c r="F243" s="28"/>
      <c r="G243" s="21"/>
      <c r="H243" s="29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</row>
    <row r="244" spans="1:50" x14ac:dyDescent="0.25">
      <c r="A244" s="21"/>
      <c r="B244" s="21"/>
      <c r="C244" s="27"/>
      <c r="D244" s="21"/>
      <c r="E244" s="28"/>
      <c r="F244" s="28"/>
      <c r="G244" s="21"/>
      <c r="H244" s="29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</row>
    <row r="245" spans="1:50" x14ac:dyDescent="0.25">
      <c r="A245" s="21"/>
      <c r="B245" s="21"/>
      <c r="C245" s="27"/>
      <c r="D245" s="21"/>
      <c r="E245" s="28"/>
      <c r="F245" s="28"/>
      <c r="G245" s="21"/>
      <c r="H245" s="29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</row>
    <row r="246" spans="1:50" x14ac:dyDescent="0.25">
      <c r="A246" s="21"/>
      <c r="B246" s="21"/>
      <c r="C246" s="27"/>
      <c r="D246" s="21"/>
      <c r="E246" s="28"/>
      <c r="F246" s="28"/>
      <c r="G246" s="21"/>
      <c r="H246" s="29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</row>
    <row r="247" spans="1:50" x14ac:dyDescent="0.25">
      <c r="A247" s="21"/>
      <c r="B247" s="21"/>
      <c r="C247" s="27"/>
      <c r="D247" s="21"/>
      <c r="E247" s="28"/>
      <c r="F247" s="28"/>
      <c r="G247" s="21"/>
      <c r="H247" s="29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</row>
    <row r="248" spans="1:50" x14ac:dyDescent="0.25">
      <c r="A248" s="21"/>
      <c r="B248" s="21"/>
      <c r="C248" s="27"/>
      <c r="D248" s="21"/>
      <c r="E248" s="28"/>
      <c r="F248" s="28"/>
      <c r="G248" s="21"/>
      <c r="H248" s="29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</row>
    <row r="249" spans="1:50" x14ac:dyDescent="0.25">
      <c r="A249" s="21"/>
      <c r="B249" s="21"/>
      <c r="C249" s="27"/>
      <c r="D249" s="21"/>
      <c r="E249" s="28"/>
      <c r="F249" s="28"/>
      <c r="G249" s="21"/>
      <c r="H249" s="29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</row>
    <row r="250" spans="1:50" x14ac:dyDescent="0.25">
      <c r="A250" s="21"/>
      <c r="B250" s="21"/>
      <c r="C250" s="27"/>
      <c r="D250" s="21"/>
      <c r="E250" s="28"/>
      <c r="F250" s="28"/>
      <c r="G250" s="21"/>
      <c r="H250" s="29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</row>
    <row r="251" spans="1:50" x14ac:dyDescent="0.25">
      <c r="A251" s="21"/>
      <c r="B251" s="21"/>
      <c r="C251" s="27"/>
      <c r="D251" s="21"/>
      <c r="E251" s="28"/>
      <c r="F251" s="28"/>
      <c r="G251" s="21"/>
      <c r="H251" s="29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</row>
    <row r="252" spans="1:50" x14ac:dyDescent="0.25">
      <c r="A252" s="21"/>
      <c r="B252" s="21"/>
      <c r="C252" s="27"/>
      <c r="D252" s="21"/>
      <c r="E252" s="28"/>
      <c r="F252" s="28"/>
      <c r="G252" s="21"/>
      <c r="H252" s="29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</row>
    <row r="253" spans="1:50" x14ac:dyDescent="0.25">
      <c r="A253" s="21"/>
      <c r="B253" s="21"/>
      <c r="C253" s="27"/>
      <c r="D253" s="21"/>
      <c r="E253" s="28"/>
      <c r="F253" s="28"/>
      <c r="G253" s="21"/>
      <c r="H253" s="29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</row>
    <row r="254" spans="1:50" x14ac:dyDescent="0.25">
      <c r="A254" s="21"/>
      <c r="B254" s="21"/>
      <c r="C254" s="27"/>
      <c r="D254" s="21"/>
      <c r="E254" s="28"/>
      <c r="F254" s="28"/>
      <c r="G254" s="21"/>
      <c r="H254" s="29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</row>
    <row r="255" spans="1:50" x14ac:dyDescent="0.25">
      <c r="A255" s="21"/>
      <c r="B255" s="21"/>
      <c r="C255" s="27"/>
      <c r="D255" s="21"/>
      <c r="E255" s="28"/>
      <c r="F255" s="28"/>
      <c r="G255" s="21"/>
      <c r="H255" s="29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</row>
    <row r="256" spans="1:50" x14ac:dyDescent="0.25">
      <c r="A256" s="21"/>
      <c r="B256" s="21"/>
      <c r="C256" s="27"/>
      <c r="D256" s="21"/>
      <c r="E256" s="28"/>
      <c r="F256" s="28"/>
      <c r="G256" s="21"/>
      <c r="H256" s="29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</row>
    <row r="257" spans="1:50" x14ac:dyDescent="0.25">
      <c r="A257" s="21"/>
      <c r="B257" s="21"/>
      <c r="C257" s="27"/>
      <c r="D257" s="21"/>
      <c r="E257" s="28"/>
      <c r="F257" s="28"/>
      <c r="G257" s="21"/>
      <c r="H257" s="29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</row>
    <row r="258" spans="1:50" x14ac:dyDescent="0.25">
      <c r="A258" s="21"/>
      <c r="B258" s="21"/>
      <c r="C258" s="27"/>
      <c r="D258" s="21"/>
      <c r="E258" s="28"/>
      <c r="F258" s="28"/>
      <c r="G258" s="21"/>
      <c r="H258" s="29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</row>
    <row r="259" spans="1:50" x14ac:dyDescent="0.25">
      <c r="A259" s="21"/>
      <c r="B259" s="21"/>
      <c r="C259" s="27"/>
      <c r="D259" s="21"/>
      <c r="E259" s="28"/>
      <c r="F259" s="28"/>
      <c r="G259" s="21"/>
      <c r="H259" s="29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</row>
    <row r="260" spans="1:50" x14ac:dyDescent="0.25">
      <c r="A260" s="21"/>
      <c r="B260" s="21"/>
      <c r="C260" s="27"/>
      <c r="D260" s="21"/>
      <c r="E260" s="28"/>
      <c r="F260" s="28"/>
      <c r="G260" s="21"/>
      <c r="H260" s="29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</row>
    <row r="261" spans="1:50" x14ac:dyDescent="0.25">
      <c r="A261" s="21"/>
      <c r="B261" s="21"/>
      <c r="C261" s="27"/>
      <c r="D261" s="21"/>
      <c r="E261" s="28"/>
      <c r="F261" s="28"/>
      <c r="G261" s="21"/>
      <c r="H261" s="29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</row>
    <row r="262" spans="1:50" x14ac:dyDescent="0.25">
      <c r="A262" s="21"/>
      <c r="B262" s="21"/>
      <c r="C262" s="27"/>
      <c r="D262" s="21"/>
      <c r="E262" s="28"/>
      <c r="F262" s="28"/>
      <c r="G262" s="21"/>
      <c r="H262" s="29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</row>
    <row r="263" spans="1:50" x14ac:dyDescent="0.25">
      <c r="A263" s="21"/>
      <c r="B263" s="21"/>
      <c r="C263" s="27"/>
      <c r="D263" s="21"/>
      <c r="E263" s="28"/>
      <c r="F263" s="28"/>
      <c r="G263" s="21"/>
      <c r="H263" s="29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</row>
    <row r="264" spans="1:50" x14ac:dyDescent="0.25">
      <c r="A264" s="21"/>
      <c r="B264" s="21"/>
      <c r="C264" s="27"/>
      <c r="D264" s="21"/>
      <c r="E264" s="28"/>
      <c r="F264" s="28"/>
      <c r="G264" s="21"/>
      <c r="H264" s="29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</row>
    <row r="265" spans="1:50" x14ac:dyDescent="0.25">
      <c r="A265" s="21"/>
      <c r="B265" s="21"/>
      <c r="C265" s="27"/>
      <c r="D265" s="21"/>
      <c r="E265" s="28"/>
      <c r="F265" s="28"/>
      <c r="G265" s="21"/>
      <c r="H265" s="29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</row>
    <row r="266" spans="1:50" x14ac:dyDescent="0.25">
      <c r="A266" s="21"/>
      <c r="B266" s="21"/>
      <c r="C266" s="27"/>
      <c r="D266" s="21"/>
      <c r="E266" s="28"/>
      <c r="F266" s="28"/>
      <c r="G266" s="21"/>
      <c r="H266" s="29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</row>
    <row r="267" spans="1:50" x14ac:dyDescent="0.25">
      <c r="A267" s="21"/>
      <c r="B267" s="21"/>
      <c r="C267" s="27"/>
      <c r="D267" s="21"/>
      <c r="E267" s="28"/>
      <c r="F267" s="28"/>
      <c r="G267" s="21"/>
      <c r="H267" s="29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</row>
    <row r="268" spans="1:50" x14ac:dyDescent="0.25">
      <c r="A268" s="21"/>
      <c r="B268" s="21"/>
      <c r="C268" s="27"/>
      <c r="D268" s="21"/>
      <c r="E268" s="28"/>
      <c r="F268" s="28"/>
      <c r="G268" s="21"/>
      <c r="H268" s="29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</row>
    <row r="269" spans="1:50" x14ac:dyDescent="0.25">
      <c r="A269" s="21"/>
      <c r="B269" s="21"/>
      <c r="C269" s="27"/>
      <c r="D269" s="21"/>
      <c r="E269" s="28"/>
      <c r="F269" s="28"/>
      <c r="G269" s="21"/>
      <c r="H269" s="29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</row>
    <row r="270" spans="1:50" x14ac:dyDescent="0.25">
      <c r="A270" s="21"/>
      <c r="B270" s="21"/>
      <c r="C270" s="27"/>
      <c r="D270" s="21"/>
      <c r="E270" s="28"/>
      <c r="F270" s="28"/>
      <c r="G270" s="21"/>
      <c r="H270" s="29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</row>
    <row r="271" spans="1:50" x14ac:dyDescent="0.25">
      <c r="A271" s="21"/>
      <c r="B271" s="21"/>
      <c r="C271" s="27"/>
      <c r="D271" s="21"/>
      <c r="E271" s="28"/>
      <c r="F271" s="28"/>
      <c r="G271" s="21"/>
      <c r="H271" s="29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</row>
    <row r="272" spans="1:50" x14ac:dyDescent="0.25">
      <c r="A272" s="21"/>
      <c r="B272" s="21"/>
      <c r="C272" s="27"/>
      <c r="D272" s="21"/>
      <c r="E272" s="28"/>
      <c r="F272" s="28"/>
      <c r="G272" s="21"/>
      <c r="H272" s="29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</row>
    <row r="273" spans="1:50" x14ac:dyDescent="0.25">
      <c r="A273" s="21"/>
      <c r="B273" s="21"/>
      <c r="C273" s="27"/>
      <c r="D273" s="21"/>
      <c r="E273" s="28"/>
      <c r="F273" s="28"/>
      <c r="G273" s="21"/>
      <c r="H273" s="29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</row>
    <row r="274" spans="1:50" x14ac:dyDescent="0.25">
      <c r="A274" s="21"/>
      <c r="B274" s="21"/>
      <c r="C274" s="27"/>
      <c r="D274" s="21"/>
      <c r="E274" s="28"/>
      <c r="F274" s="28"/>
      <c r="G274" s="21"/>
      <c r="H274" s="29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</row>
    <row r="275" spans="1:50" x14ac:dyDescent="0.25">
      <c r="A275" s="21"/>
      <c r="B275" s="21"/>
      <c r="C275" s="27"/>
      <c r="D275" s="21"/>
      <c r="E275" s="28"/>
      <c r="F275" s="28"/>
      <c r="G275" s="21"/>
      <c r="H275" s="29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</row>
    <row r="276" spans="1:50" x14ac:dyDescent="0.25">
      <c r="A276" s="21"/>
      <c r="B276" s="21"/>
      <c r="C276" s="27"/>
      <c r="D276" s="21"/>
      <c r="E276" s="28"/>
      <c r="F276" s="28"/>
      <c r="G276" s="21"/>
      <c r="H276" s="29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</row>
    <row r="277" spans="1:50" x14ac:dyDescent="0.25">
      <c r="A277" s="21"/>
      <c r="B277" s="21"/>
      <c r="C277" s="27"/>
      <c r="D277" s="21"/>
      <c r="E277" s="28"/>
      <c r="F277" s="28"/>
      <c r="G277" s="21"/>
      <c r="H277" s="29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</row>
    <row r="278" spans="1:50" x14ac:dyDescent="0.25">
      <c r="A278" s="21"/>
      <c r="B278" s="21"/>
      <c r="C278" s="27"/>
      <c r="D278" s="21"/>
      <c r="E278" s="28"/>
      <c r="F278" s="28"/>
      <c r="G278" s="21"/>
      <c r="H278" s="29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</row>
    <row r="279" spans="1:50" x14ac:dyDescent="0.25">
      <c r="A279" s="21"/>
      <c r="B279" s="21"/>
      <c r="C279" s="27"/>
      <c r="D279" s="21"/>
      <c r="E279" s="28"/>
      <c r="F279" s="28"/>
      <c r="G279" s="21"/>
      <c r="H279" s="29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</row>
    <row r="280" spans="1:50" x14ac:dyDescent="0.25">
      <c r="A280" s="21"/>
      <c r="B280" s="21"/>
      <c r="C280" s="27"/>
      <c r="D280" s="21"/>
      <c r="E280" s="28"/>
      <c r="F280" s="28"/>
      <c r="G280" s="21"/>
      <c r="H280" s="29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</row>
    <row r="281" spans="1:50" x14ac:dyDescent="0.25">
      <c r="A281" s="21"/>
      <c r="B281" s="21"/>
      <c r="C281" s="27"/>
      <c r="D281" s="21"/>
      <c r="E281" s="28"/>
      <c r="F281" s="28"/>
      <c r="G281" s="21"/>
      <c r="H281" s="29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</row>
    <row r="282" spans="1:50" x14ac:dyDescent="0.25">
      <c r="A282" s="21"/>
      <c r="B282" s="21"/>
      <c r="C282" s="27"/>
      <c r="D282" s="21"/>
      <c r="E282" s="28"/>
      <c r="F282" s="28"/>
      <c r="G282" s="21"/>
      <c r="H282" s="29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</row>
    <row r="283" spans="1:50" x14ac:dyDescent="0.25">
      <c r="A283" s="21"/>
      <c r="B283" s="21"/>
      <c r="C283" s="27"/>
      <c r="D283" s="21"/>
      <c r="E283" s="28"/>
      <c r="F283" s="28"/>
      <c r="G283" s="21"/>
      <c r="H283" s="29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</row>
    <row r="284" spans="1:50" x14ac:dyDescent="0.25">
      <c r="A284" s="21"/>
      <c r="B284" s="21"/>
      <c r="C284" s="27"/>
      <c r="D284" s="21"/>
      <c r="E284" s="28"/>
      <c r="F284" s="28"/>
      <c r="G284" s="21"/>
      <c r="H284" s="29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</row>
    <row r="285" spans="1:50" x14ac:dyDescent="0.25">
      <c r="A285" s="21"/>
      <c r="B285" s="21"/>
      <c r="C285" s="27"/>
      <c r="D285" s="21"/>
      <c r="E285" s="28"/>
      <c r="F285" s="28"/>
      <c r="G285" s="21"/>
      <c r="H285" s="29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</row>
    <row r="286" spans="1:50" x14ac:dyDescent="0.25">
      <c r="A286" s="21"/>
      <c r="B286" s="21"/>
      <c r="C286" s="27"/>
      <c r="D286" s="21"/>
      <c r="E286" s="28"/>
      <c r="F286" s="28"/>
      <c r="G286" s="21"/>
      <c r="H286" s="29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</row>
    <row r="287" spans="1:50" x14ac:dyDescent="0.25">
      <c r="A287" s="21"/>
      <c r="B287" s="21"/>
      <c r="C287" s="27"/>
      <c r="D287" s="21"/>
      <c r="E287" s="28"/>
      <c r="F287" s="28"/>
      <c r="G287" s="21"/>
      <c r="H287" s="29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</row>
    <row r="288" spans="1:50" x14ac:dyDescent="0.25">
      <c r="A288" s="21"/>
      <c r="B288" s="21"/>
      <c r="C288" s="27"/>
      <c r="D288" s="21"/>
      <c r="E288" s="28"/>
      <c r="F288" s="28"/>
      <c r="G288" s="21"/>
      <c r="H288" s="29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</row>
    <row r="289" spans="1:50" x14ac:dyDescent="0.25">
      <c r="A289" s="21"/>
      <c r="B289" s="21"/>
      <c r="C289" s="27"/>
      <c r="D289" s="21"/>
      <c r="E289" s="28"/>
      <c r="F289" s="28"/>
      <c r="G289" s="21"/>
      <c r="H289" s="29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</row>
    <row r="290" spans="1:50" x14ac:dyDescent="0.25">
      <c r="A290" s="21"/>
      <c r="B290" s="21"/>
      <c r="C290" s="27"/>
      <c r="D290" s="21"/>
      <c r="E290" s="28"/>
      <c r="F290" s="28"/>
      <c r="G290" s="21"/>
      <c r="H290" s="29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</row>
    <row r="291" spans="1:50" x14ac:dyDescent="0.25">
      <c r="A291" s="21"/>
      <c r="B291" s="21"/>
      <c r="C291" s="27"/>
      <c r="D291" s="21"/>
      <c r="E291" s="28"/>
      <c r="F291" s="28"/>
      <c r="G291" s="21"/>
      <c r="H291" s="29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</row>
    <row r="292" spans="1:50" x14ac:dyDescent="0.25">
      <c r="A292" s="21"/>
      <c r="B292" s="21"/>
      <c r="C292" s="27"/>
      <c r="D292" s="21"/>
      <c r="E292" s="28"/>
      <c r="F292" s="28"/>
      <c r="G292" s="21"/>
      <c r="H292" s="29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</row>
    <row r="293" spans="1:50" x14ac:dyDescent="0.25">
      <c r="A293" s="21"/>
      <c r="B293" s="21"/>
      <c r="C293" s="27"/>
      <c r="D293" s="21"/>
      <c r="E293" s="28"/>
      <c r="F293" s="28"/>
      <c r="G293" s="21"/>
      <c r="H293" s="29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</row>
    <row r="294" spans="1:50" x14ac:dyDescent="0.25">
      <c r="A294" s="21"/>
      <c r="B294" s="21"/>
      <c r="C294" s="27"/>
      <c r="D294" s="21"/>
      <c r="E294" s="28"/>
      <c r="F294" s="28"/>
      <c r="G294" s="21"/>
      <c r="H294" s="29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</row>
    <row r="295" spans="1:50" x14ac:dyDescent="0.25">
      <c r="A295" s="21"/>
      <c r="B295" s="21"/>
      <c r="C295" s="27"/>
      <c r="D295" s="21"/>
      <c r="E295" s="28"/>
      <c r="F295" s="28"/>
      <c r="G295" s="21"/>
      <c r="H295" s="29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</row>
    <row r="296" spans="1:50" x14ac:dyDescent="0.25">
      <c r="A296" s="21"/>
      <c r="B296" s="21"/>
      <c r="C296" s="27"/>
      <c r="D296" s="21"/>
      <c r="E296" s="28"/>
      <c r="F296" s="28"/>
      <c r="G296" s="21"/>
      <c r="H296" s="29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</row>
    <row r="297" spans="1:50" x14ac:dyDescent="0.25">
      <c r="A297" s="21"/>
      <c r="B297" s="21"/>
      <c r="C297" s="27"/>
      <c r="D297" s="21"/>
      <c r="E297" s="28"/>
      <c r="F297" s="28"/>
      <c r="G297" s="21"/>
      <c r="H297" s="29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</row>
    <row r="298" spans="1:50" x14ac:dyDescent="0.25">
      <c r="A298" s="21"/>
      <c r="B298" s="21"/>
      <c r="C298" s="27"/>
      <c r="D298" s="21"/>
      <c r="E298" s="28"/>
      <c r="F298" s="28"/>
      <c r="G298" s="21"/>
      <c r="H298" s="29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</row>
    <row r="299" spans="1:50" x14ac:dyDescent="0.25">
      <c r="A299" s="21"/>
      <c r="B299" s="21"/>
      <c r="C299" s="27"/>
      <c r="D299" s="21"/>
      <c r="E299" s="28"/>
      <c r="F299" s="28"/>
      <c r="G299" s="21"/>
      <c r="H299" s="29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</row>
    <row r="300" spans="1:50" x14ac:dyDescent="0.25">
      <c r="A300" s="21"/>
      <c r="B300" s="21"/>
      <c r="C300" s="27"/>
      <c r="D300" s="21"/>
      <c r="E300" s="28"/>
      <c r="F300" s="28"/>
      <c r="G300" s="21"/>
      <c r="H300" s="29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</row>
    <row r="301" spans="1:50" x14ac:dyDescent="0.25">
      <c r="A301" s="21"/>
      <c r="B301" s="21"/>
      <c r="C301" s="27"/>
      <c r="D301" s="21"/>
      <c r="E301" s="28"/>
      <c r="F301" s="28"/>
      <c r="G301" s="21"/>
      <c r="H301" s="29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</row>
    <row r="302" spans="1:50" x14ac:dyDescent="0.25">
      <c r="A302" s="21"/>
      <c r="B302" s="21"/>
      <c r="C302" s="27"/>
      <c r="D302" s="21"/>
      <c r="E302" s="28"/>
      <c r="F302" s="28"/>
      <c r="G302" s="21"/>
      <c r="H302" s="29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</row>
    <row r="303" spans="1:50" x14ac:dyDescent="0.25">
      <c r="A303" s="21"/>
      <c r="B303" s="21"/>
      <c r="C303" s="27"/>
      <c r="D303" s="21"/>
      <c r="E303" s="28"/>
      <c r="F303" s="28"/>
      <c r="G303" s="21"/>
      <c r="H303" s="29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</row>
    <row r="304" spans="1:50" x14ac:dyDescent="0.25">
      <c r="A304" s="21"/>
      <c r="B304" s="21"/>
      <c r="C304" s="27"/>
      <c r="D304" s="21"/>
      <c r="E304" s="28"/>
      <c r="F304" s="28"/>
      <c r="G304" s="21"/>
      <c r="H304" s="29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</row>
    <row r="305" spans="1:50" x14ac:dyDescent="0.25">
      <c r="A305" s="21"/>
      <c r="B305" s="21"/>
      <c r="C305" s="27"/>
      <c r="D305" s="21"/>
      <c r="E305" s="28"/>
      <c r="F305" s="28"/>
      <c r="G305" s="21"/>
      <c r="H305" s="29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</row>
    <row r="306" spans="1:50" x14ac:dyDescent="0.25">
      <c r="A306" s="21"/>
      <c r="B306" s="21"/>
      <c r="C306" s="27"/>
      <c r="D306" s="21"/>
      <c r="E306" s="28"/>
      <c r="F306" s="28"/>
      <c r="G306" s="21"/>
      <c r="H306" s="29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</row>
    <row r="307" spans="1:50" x14ac:dyDescent="0.25">
      <c r="A307" s="21"/>
      <c r="B307" s="21"/>
      <c r="C307" s="27"/>
      <c r="D307" s="21"/>
      <c r="E307" s="28"/>
      <c r="F307" s="28"/>
      <c r="G307" s="21"/>
      <c r="H307" s="29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</row>
    <row r="308" spans="1:50" x14ac:dyDescent="0.25">
      <c r="A308" s="21"/>
      <c r="B308" s="21"/>
      <c r="C308" s="27"/>
      <c r="D308" s="21"/>
      <c r="E308" s="28"/>
      <c r="F308" s="28"/>
      <c r="G308" s="21"/>
      <c r="H308" s="29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</row>
    <row r="309" spans="1:50" x14ac:dyDescent="0.25">
      <c r="A309" s="21"/>
      <c r="B309" s="21"/>
      <c r="C309" s="27"/>
      <c r="D309" s="21"/>
      <c r="E309" s="28"/>
      <c r="F309" s="28"/>
      <c r="G309" s="21"/>
      <c r="H309" s="29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</row>
    <row r="310" spans="1:50" x14ac:dyDescent="0.25">
      <c r="A310" s="21"/>
      <c r="B310" s="21"/>
      <c r="C310" s="27"/>
      <c r="D310" s="21"/>
      <c r="E310" s="28"/>
      <c r="F310" s="28"/>
      <c r="G310" s="21"/>
      <c r="H310" s="29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</row>
    <row r="311" spans="1:50" x14ac:dyDescent="0.25">
      <c r="A311" s="21"/>
      <c r="B311" s="21"/>
      <c r="C311" s="27"/>
      <c r="D311" s="21"/>
      <c r="E311" s="28"/>
      <c r="F311" s="28"/>
      <c r="G311" s="21"/>
      <c r="H311" s="29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</row>
    <row r="312" spans="1:50" x14ac:dyDescent="0.25">
      <c r="A312" s="21"/>
      <c r="B312" s="21"/>
      <c r="C312" s="27"/>
      <c r="D312" s="21"/>
      <c r="E312" s="28"/>
      <c r="F312" s="28"/>
      <c r="G312" s="21"/>
      <c r="H312" s="29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</row>
    <row r="313" spans="1:50" x14ac:dyDescent="0.25">
      <c r="A313" s="21"/>
      <c r="B313" s="21"/>
      <c r="C313" s="27"/>
      <c r="D313" s="21"/>
      <c r="E313" s="28"/>
      <c r="F313" s="28"/>
      <c r="G313" s="21"/>
      <c r="H313" s="29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</row>
    <row r="314" spans="1:50" x14ac:dyDescent="0.25">
      <c r="A314" s="21"/>
      <c r="B314" s="21"/>
      <c r="C314" s="27"/>
      <c r="D314" s="21"/>
      <c r="E314" s="28"/>
      <c r="F314" s="28"/>
      <c r="G314" s="21"/>
      <c r="H314" s="29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</row>
    <row r="315" spans="1:50" x14ac:dyDescent="0.25">
      <c r="A315" s="21"/>
      <c r="B315" s="21"/>
      <c r="C315" s="27"/>
      <c r="D315" s="21"/>
      <c r="E315" s="28"/>
      <c r="F315" s="28"/>
      <c r="G315" s="21"/>
      <c r="H315" s="29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</row>
    <row r="316" spans="1:50" x14ac:dyDescent="0.25">
      <c r="A316" s="21"/>
      <c r="B316" s="21"/>
      <c r="C316" s="27"/>
      <c r="D316" s="21"/>
      <c r="E316" s="28"/>
      <c r="F316" s="28"/>
      <c r="G316" s="21"/>
      <c r="H316" s="29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</row>
    <row r="317" spans="1:50" x14ac:dyDescent="0.25">
      <c r="A317" s="21"/>
      <c r="B317" s="21"/>
      <c r="C317" s="27"/>
      <c r="D317" s="21"/>
      <c r="E317" s="28"/>
      <c r="F317" s="28"/>
      <c r="G317" s="21"/>
      <c r="H317" s="29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</row>
    <row r="318" spans="1:50" x14ac:dyDescent="0.25">
      <c r="A318" s="21"/>
      <c r="B318" s="21"/>
      <c r="C318" s="27"/>
      <c r="D318" s="21"/>
      <c r="E318" s="28"/>
      <c r="F318" s="28"/>
      <c r="G318" s="21"/>
      <c r="H318" s="29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</row>
    <row r="319" spans="1:50" x14ac:dyDescent="0.25">
      <c r="A319" s="21"/>
      <c r="B319" s="21"/>
      <c r="C319" s="27"/>
      <c r="D319" s="21"/>
      <c r="E319" s="28"/>
      <c r="F319" s="28"/>
      <c r="G319" s="21"/>
      <c r="H319" s="29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</row>
    <row r="320" spans="1:50" x14ac:dyDescent="0.25">
      <c r="A320" s="21"/>
      <c r="B320" s="21"/>
      <c r="C320" s="27"/>
      <c r="D320" s="21"/>
      <c r="E320" s="28"/>
      <c r="F320" s="28"/>
      <c r="G320" s="21"/>
      <c r="H320" s="29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</row>
    <row r="321" spans="1:50" x14ac:dyDescent="0.25">
      <c r="A321" s="21"/>
      <c r="B321" s="21"/>
      <c r="C321" s="27"/>
      <c r="D321" s="21"/>
      <c r="E321" s="28"/>
      <c r="F321" s="28"/>
      <c r="G321" s="21"/>
      <c r="H321" s="29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</row>
    <row r="322" spans="1:50" x14ac:dyDescent="0.25">
      <c r="A322" s="21"/>
      <c r="B322" s="21"/>
      <c r="C322" s="27"/>
      <c r="D322" s="21"/>
      <c r="E322" s="28"/>
      <c r="F322" s="28"/>
      <c r="G322" s="21"/>
      <c r="H322" s="29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</row>
    <row r="323" spans="1:50" x14ac:dyDescent="0.25">
      <c r="A323" s="21"/>
      <c r="B323" s="21"/>
      <c r="C323" s="27"/>
      <c r="D323" s="21"/>
      <c r="E323" s="28"/>
      <c r="F323" s="28"/>
      <c r="G323" s="21"/>
      <c r="H323" s="29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</row>
    <row r="324" spans="1:50" x14ac:dyDescent="0.25">
      <c r="A324" s="21"/>
      <c r="B324" s="21"/>
      <c r="C324" s="27"/>
      <c r="D324" s="21"/>
      <c r="E324" s="28"/>
      <c r="F324" s="28"/>
      <c r="G324" s="21"/>
      <c r="H324" s="29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</row>
    <row r="325" spans="1:50" x14ac:dyDescent="0.25">
      <c r="A325" s="21"/>
      <c r="B325" s="21"/>
      <c r="C325" s="27"/>
      <c r="D325" s="21"/>
      <c r="E325" s="28"/>
      <c r="F325" s="28"/>
      <c r="G325" s="21"/>
      <c r="H325" s="29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</row>
    <row r="326" spans="1:50" x14ac:dyDescent="0.25">
      <c r="A326" s="21"/>
      <c r="B326" s="21"/>
      <c r="C326" s="27"/>
      <c r="D326" s="21"/>
      <c r="E326" s="28"/>
      <c r="F326" s="28"/>
      <c r="G326" s="21"/>
      <c r="H326" s="29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</row>
    <row r="327" spans="1:50" x14ac:dyDescent="0.25">
      <c r="A327" s="21"/>
      <c r="B327" s="21"/>
      <c r="C327" s="27"/>
      <c r="D327" s="21"/>
      <c r="E327" s="28"/>
      <c r="F327" s="28"/>
      <c r="G327" s="21"/>
      <c r="H327" s="29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</row>
    <row r="328" spans="1:50" x14ac:dyDescent="0.25">
      <c r="A328" s="21"/>
      <c r="B328" s="21"/>
      <c r="C328" s="27"/>
      <c r="D328" s="21"/>
      <c r="E328" s="28"/>
      <c r="F328" s="28"/>
      <c r="G328" s="21"/>
      <c r="H328" s="29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</row>
    <row r="329" spans="1:50" x14ac:dyDescent="0.25">
      <c r="A329" s="21"/>
      <c r="B329" s="21"/>
      <c r="C329" s="27"/>
      <c r="D329" s="21"/>
      <c r="E329" s="28"/>
      <c r="F329" s="28"/>
      <c r="G329" s="21"/>
      <c r="H329" s="29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</row>
    <row r="330" spans="1:50" x14ac:dyDescent="0.25">
      <c r="A330" s="21"/>
      <c r="B330" s="21"/>
      <c r="C330" s="27"/>
      <c r="D330" s="21"/>
      <c r="E330" s="28"/>
      <c r="F330" s="28"/>
      <c r="G330" s="21"/>
      <c r="H330" s="29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</row>
    <row r="331" spans="1:50" x14ac:dyDescent="0.25">
      <c r="A331" s="21"/>
      <c r="B331" s="21"/>
      <c r="C331" s="27"/>
      <c r="D331" s="21"/>
      <c r="E331" s="28"/>
      <c r="F331" s="28"/>
      <c r="G331" s="21"/>
      <c r="H331" s="29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</row>
    <row r="332" spans="1:50" x14ac:dyDescent="0.25">
      <c r="A332" s="21"/>
      <c r="B332" s="21"/>
      <c r="C332" s="27"/>
      <c r="D332" s="21"/>
      <c r="E332" s="28"/>
      <c r="F332" s="28"/>
      <c r="G332" s="21"/>
      <c r="H332" s="29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</row>
    <row r="333" spans="1:50" x14ac:dyDescent="0.25">
      <c r="A333" s="21"/>
      <c r="B333" s="21"/>
      <c r="C333" s="27"/>
      <c r="D333" s="21"/>
      <c r="E333" s="28"/>
      <c r="F333" s="28"/>
      <c r="G333" s="21"/>
      <c r="H333" s="29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</row>
    <row r="334" spans="1:50" x14ac:dyDescent="0.25">
      <c r="A334" s="21"/>
      <c r="B334" s="21"/>
      <c r="C334" s="27"/>
      <c r="D334" s="21"/>
      <c r="E334" s="28"/>
      <c r="F334" s="28"/>
      <c r="G334" s="21"/>
      <c r="H334" s="29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</row>
    <row r="335" spans="1:50" x14ac:dyDescent="0.25">
      <c r="A335" s="21"/>
      <c r="B335" s="21"/>
      <c r="C335" s="27"/>
      <c r="D335" s="21"/>
      <c r="E335" s="28"/>
      <c r="F335" s="28"/>
      <c r="G335" s="21"/>
      <c r="H335" s="29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</row>
    <row r="336" spans="1:50" x14ac:dyDescent="0.25">
      <c r="A336" s="21"/>
      <c r="B336" s="21"/>
      <c r="C336" s="27"/>
      <c r="D336" s="21"/>
      <c r="E336" s="28"/>
      <c r="F336" s="28"/>
      <c r="G336" s="21"/>
      <c r="H336" s="29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</row>
    <row r="337" spans="1:50" x14ac:dyDescent="0.25">
      <c r="A337" s="21"/>
      <c r="B337" s="21"/>
      <c r="C337" s="27"/>
      <c r="D337" s="21"/>
      <c r="E337" s="28"/>
      <c r="F337" s="28"/>
      <c r="G337" s="21"/>
      <c r="H337" s="29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</row>
    <row r="338" spans="1:50" x14ac:dyDescent="0.25">
      <c r="A338" s="21"/>
      <c r="B338" s="21"/>
      <c r="C338" s="27"/>
      <c r="D338" s="21"/>
      <c r="E338" s="28"/>
      <c r="F338" s="28"/>
      <c r="G338" s="21"/>
      <c r="H338" s="29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</row>
    <row r="339" spans="1:50" x14ac:dyDescent="0.25">
      <c r="A339" s="21"/>
      <c r="B339" s="21"/>
      <c r="C339" s="27"/>
      <c r="D339" s="21"/>
      <c r="E339" s="28"/>
      <c r="F339" s="28"/>
      <c r="G339" s="21"/>
      <c r="H339" s="29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</row>
    <row r="340" spans="1:50" x14ac:dyDescent="0.25">
      <c r="A340" s="21"/>
      <c r="B340" s="21"/>
      <c r="C340" s="27"/>
      <c r="D340" s="21"/>
      <c r="E340" s="28"/>
      <c r="F340" s="28"/>
      <c r="G340" s="21"/>
      <c r="H340" s="29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</row>
    <row r="341" spans="1:50" x14ac:dyDescent="0.25">
      <c r="A341" s="21"/>
      <c r="B341" s="21"/>
      <c r="C341" s="27"/>
      <c r="D341" s="21"/>
      <c r="E341" s="28"/>
      <c r="F341" s="28"/>
      <c r="G341" s="21"/>
      <c r="H341" s="29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</row>
    <row r="342" spans="1:50" x14ac:dyDescent="0.25">
      <c r="A342" s="21"/>
      <c r="B342" s="21"/>
      <c r="C342" s="27"/>
      <c r="D342" s="21"/>
      <c r="E342" s="28"/>
      <c r="F342" s="28"/>
      <c r="G342" s="21"/>
      <c r="H342" s="29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</row>
    <row r="343" spans="1:50" x14ac:dyDescent="0.25">
      <c r="A343" s="21"/>
      <c r="B343" s="21"/>
      <c r="C343" s="27"/>
      <c r="D343" s="21"/>
      <c r="E343" s="28"/>
      <c r="F343" s="28"/>
      <c r="G343" s="21"/>
      <c r="H343" s="29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</row>
    <row r="344" spans="1:50" x14ac:dyDescent="0.25">
      <c r="A344" s="21"/>
      <c r="B344" s="21"/>
      <c r="C344" s="27"/>
      <c r="D344" s="21"/>
      <c r="E344" s="28"/>
      <c r="F344" s="28"/>
      <c r="G344" s="21"/>
      <c r="H344" s="29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</row>
    <row r="345" spans="1:50" x14ac:dyDescent="0.25">
      <c r="A345" s="21"/>
      <c r="B345" s="21"/>
      <c r="C345" s="27"/>
      <c r="D345" s="21"/>
      <c r="E345" s="28"/>
      <c r="F345" s="28"/>
      <c r="G345" s="21"/>
      <c r="H345" s="29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</row>
    <row r="346" spans="1:50" x14ac:dyDescent="0.25">
      <c r="A346" s="21"/>
      <c r="B346" s="21"/>
      <c r="C346" s="27"/>
      <c r="D346" s="21"/>
      <c r="E346" s="28"/>
      <c r="F346" s="28"/>
      <c r="G346" s="21"/>
      <c r="H346" s="29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</row>
    <row r="347" spans="1:50" x14ac:dyDescent="0.25">
      <c r="A347" s="21"/>
      <c r="B347" s="21"/>
      <c r="C347" s="27"/>
      <c r="D347" s="21"/>
      <c r="E347" s="28"/>
      <c r="F347" s="28"/>
      <c r="G347" s="21"/>
      <c r="H347" s="29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</row>
    <row r="348" spans="1:50" x14ac:dyDescent="0.25">
      <c r="A348" s="21"/>
      <c r="B348" s="21"/>
      <c r="C348" s="27"/>
      <c r="D348" s="21"/>
      <c r="E348" s="28"/>
      <c r="F348" s="28"/>
      <c r="G348" s="21"/>
      <c r="H348" s="29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</row>
    <row r="349" spans="1:50" x14ac:dyDescent="0.25">
      <c r="A349" s="21"/>
      <c r="B349" s="21"/>
      <c r="C349" s="27"/>
      <c r="D349" s="21"/>
      <c r="E349" s="28"/>
      <c r="F349" s="28"/>
      <c r="G349" s="21"/>
      <c r="H349" s="29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</row>
    <row r="350" spans="1:50" x14ac:dyDescent="0.25">
      <c r="A350" s="21"/>
      <c r="B350" s="21"/>
      <c r="C350" s="27"/>
      <c r="D350" s="21"/>
      <c r="E350" s="28"/>
      <c r="F350" s="28"/>
      <c r="G350" s="21"/>
      <c r="H350" s="29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</row>
    <row r="351" spans="1:50" x14ac:dyDescent="0.25">
      <c r="A351" s="21"/>
      <c r="B351" s="21"/>
      <c r="C351" s="27"/>
      <c r="D351" s="21"/>
      <c r="E351" s="28"/>
      <c r="F351" s="28"/>
      <c r="G351" s="21"/>
      <c r="H351" s="29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</row>
    <row r="352" spans="1:50" x14ac:dyDescent="0.25">
      <c r="A352" s="21"/>
      <c r="B352" s="21"/>
      <c r="C352" s="27"/>
      <c r="D352" s="21"/>
      <c r="E352" s="28"/>
      <c r="F352" s="28"/>
      <c r="G352" s="21"/>
      <c r="H352" s="29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</row>
    <row r="353" spans="1:50" x14ac:dyDescent="0.25">
      <c r="A353" s="21"/>
      <c r="B353" s="21"/>
      <c r="C353" s="27"/>
      <c r="D353" s="21"/>
      <c r="E353" s="28"/>
      <c r="F353" s="28"/>
      <c r="G353" s="21"/>
      <c r="H353" s="29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</row>
    <row r="354" spans="1:50" x14ac:dyDescent="0.25">
      <c r="A354" s="21"/>
      <c r="B354" s="21"/>
      <c r="C354" s="27"/>
      <c r="D354" s="21"/>
      <c r="E354" s="28"/>
      <c r="F354" s="28"/>
      <c r="G354" s="21"/>
      <c r="H354" s="29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</row>
    <row r="355" spans="1:50" x14ac:dyDescent="0.25">
      <c r="A355" s="21"/>
      <c r="B355" s="21"/>
      <c r="C355" s="27"/>
      <c r="D355" s="21"/>
      <c r="E355" s="28"/>
      <c r="F355" s="28"/>
      <c r="G355" s="21"/>
      <c r="H355" s="29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</row>
    <row r="356" spans="1:50" x14ac:dyDescent="0.25">
      <c r="A356" s="21"/>
      <c r="B356" s="21"/>
      <c r="C356" s="27"/>
      <c r="D356" s="21"/>
      <c r="E356" s="28"/>
      <c r="F356" s="28"/>
      <c r="G356" s="21"/>
      <c r="H356" s="29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</row>
    <row r="357" spans="1:50" x14ac:dyDescent="0.25">
      <c r="A357" s="21"/>
      <c r="B357" s="21"/>
      <c r="C357" s="27"/>
      <c r="D357" s="21"/>
      <c r="E357" s="28"/>
      <c r="F357" s="28"/>
      <c r="G357" s="21"/>
      <c r="H357" s="29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</row>
    <row r="358" spans="1:50" x14ac:dyDescent="0.25">
      <c r="A358" s="21"/>
      <c r="B358" s="21"/>
      <c r="C358" s="27"/>
      <c r="D358" s="21"/>
      <c r="E358" s="28"/>
      <c r="F358" s="28"/>
      <c r="G358" s="21"/>
      <c r="H358" s="29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</row>
    <row r="359" spans="1:50" x14ac:dyDescent="0.25">
      <c r="A359" s="21"/>
      <c r="B359" s="21"/>
      <c r="C359" s="27"/>
      <c r="D359" s="21"/>
      <c r="E359" s="28"/>
      <c r="F359" s="28"/>
      <c r="G359" s="21"/>
      <c r="H359" s="29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</row>
    <row r="360" spans="1:50" x14ac:dyDescent="0.25">
      <c r="A360" s="21"/>
      <c r="B360" s="21"/>
      <c r="C360" s="27"/>
      <c r="D360" s="21"/>
      <c r="E360" s="28"/>
      <c r="F360" s="28"/>
      <c r="G360" s="21"/>
      <c r="H360" s="29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</row>
    <row r="361" spans="1:50" x14ac:dyDescent="0.25">
      <c r="A361" s="21"/>
      <c r="B361" s="21"/>
      <c r="C361" s="27"/>
      <c r="D361" s="21"/>
      <c r="E361" s="28"/>
      <c r="F361" s="28"/>
      <c r="G361" s="21"/>
      <c r="H361" s="29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</row>
    <row r="362" spans="1:50" x14ac:dyDescent="0.25">
      <c r="A362" s="21"/>
      <c r="B362" s="21"/>
      <c r="C362" s="27"/>
      <c r="D362" s="21"/>
      <c r="E362" s="28"/>
      <c r="F362" s="28"/>
      <c r="G362" s="21"/>
      <c r="H362" s="29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</row>
    <row r="363" spans="1:50" x14ac:dyDescent="0.25">
      <c r="A363" s="21"/>
      <c r="B363" s="21"/>
      <c r="C363" s="27"/>
      <c r="D363" s="21"/>
      <c r="E363" s="28"/>
      <c r="F363" s="28"/>
      <c r="G363" s="21"/>
      <c r="H363" s="29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</row>
    <row r="364" spans="1:50" x14ac:dyDescent="0.25">
      <c r="A364" s="21"/>
      <c r="B364" s="21"/>
      <c r="C364" s="27"/>
      <c r="D364" s="21"/>
      <c r="E364" s="28"/>
      <c r="F364" s="28"/>
      <c r="G364" s="21"/>
      <c r="H364" s="29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</row>
    <row r="365" spans="1:50" x14ac:dyDescent="0.25">
      <c r="A365" s="21"/>
      <c r="B365" s="21"/>
      <c r="C365" s="27"/>
      <c r="D365" s="21"/>
      <c r="E365" s="28"/>
      <c r="F365" s="28"/>
      <c r="G365" s="21"/>
      <c r="H365" s="29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</row>
    <row r="366" spans="1:50" x14ac:dyDescent="0.25">
      <c r="A366" s="21"/>
      <c r="B366" s="21"/>
      <c r="C366" s="27"/>
      <c r="D366" s="21"/>
      <c r="E366" s="28"/>
      <c r="F366" s="28"/>
      <c r="G366" s="21"/>
      <c r="H366" s="29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</row>
    <row r="367" spans="1:50" x14ac:dyDescent="0.25">
      <c r="A367" s="21"/>
      <c r="B367" s="21"/>
      <c r="C367" s="27"/>
      <c r="D367" s="21"/>
      <c r="E367" s="28"/>
      <c r="F367" s="28"/>
      <c r="G367" s="21"/>
      <c r="H367" s="29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</row>
    <row r="368" spans="1:50" x14ac:dyDescent="0.25">
      <c r="A368" s="21"/>
      <c r="B368" s="21"/>
      <c r="C368" s="27"/>
      <c r="D368" s="21"/>
      <c r="E368" s="28"/>
      <c r="F368" s="28"/>
      <c r="G368" s="21"/>
      <c r="H368" s="29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</row>
    <row r="369" spans="1:48" x14ac:dyDescent="0.25">
      <c r="A369" s="21"/>
      <c r="B369" s="21"/>
      <c r="C369" s="27"/>
      <c r="D369" s="21"/>
      <c r="E369" s="28"/>
      <c r="F369" s="28"/>
      <c r="G369" s="21"/>
      <c r="H369" s="29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</row>
    <row r="370" spans="1:48" x14ac:dyDescent="0.25">
      <c r="A370" s="21"/>
      <c r="B370" s="21"/>
      <c r="C370" s="27"/>
      <c r="D370" s="21"/>
      <c r="E370" s="28"/>
      <c r="F370" s="28"/>
      <c r="G370" s="21"/>
      <c r="H370" s="29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</row>
    <row r="371" spans="1:48" x14ac:dyDescent="0.25">
      <c r="A371" s="21"/>
      <c r="B371" s="21"/>
      <c r="C371" s="27"/>
      <c r="D371" s="21"/>
      <c r="E371" s="28"/>
      <c r="F371" s="28"/>
      <c r="G371" s="21"/>
      <c r="H371" s="29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</row>
    <row r="372" spans="1:48" x14ac:dyDescent="0.25">
      <c r="A372" s="21"/>
      <c r="B372" s="21"/>
      <c r="C372" s="27"/>
      <c r="D372" s="21"/>
      <c r="E372" s="28"/>
      <c r="F372" s="28"/>
      <c r="G372" s="21"/>
      <c r="H372" s="29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</row>
    <row r="373" spans="1:48" x14ac:dyDescent="0.25">
      <c r="A373" s="21"/>
      <c r="B373" s="21"/>
      <c r="C373" s="27"/>
      <c r="D373" s="21"/>
      <c r="E373" s="28"/>
      <c r="F373" s="28"/>
      <c r="G373" s="21"/>
      <c r="H373" s="29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</row>
    <row r="374" spans="1:48" x14ac:dyDescent="0.25">
      <c r="A374" s="21"/>
      <c r="B374" s="21"/>
      <c r="C374" s="27"/>
      <c r="D374" s="21"/>
      <c r="E374" s="28"/>
      <c r="F374" s="28"/>
      <c r="G374" s="21"/>
      <c r="H374" s="29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</row>
    <row r="375" spans="1:48" x14ac:dyDescent="0.25">
      <c r="A375" s="21"/>
      <c r="B375" s="21"/>
      <c r="C375" s="27"/>
      <c r="D375" s="21"/>
      <c r="E375" s="28"/>
      <c r="F375" s="28"/>
      <c r="G375" s="21"/>
      <c r="H375" s="29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</row>
    <row r="376" spans="1:48" x14ac:dyDescent="0.25">
      <c r="A376" s="21"/>
      <c r="B376" s="21"/>
      <c r="C376" s="27"/>
      <c r="D376" s="21"/>
      <c r="E376" s="28"/>
      <c r="F376" s="28"/>
      <c r="G376" s="21"/>
      <c r="H376" s="29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</row>
    <row r="377" spans="1:48" x14ac:dyDescent="0.25">
      <c r="A377" s="21"/>
      <c r="B377" s="21"/>
      <c r="C377" s="27"/>
      <c r="D377" s="21"/>
      <c r="E377" s="28"/>
      <c r="F377" s="28"/>
      <c r="G377" s="21"/>
      <c r="H377" s="29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</row>
    <row r="378" spans="1:48" x14ac:dyDescent="0.25">
      <c r="A378" s="21"/>
      <c r="B378" s="21"/>
      <c r="C378" s="27"/>
      <c r="D378" s="21"/>
      <c r="E378" s="28"/>
      <c r="F378" s="28"/>
      <c r="G378" s="21"/>
      <c r="H378" s="29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</row>
    <row r="379" spans="1:48" x14ac:dyDescent="0.25">
      <c r="A379" s="21"/>
      <c r="B379" s="21"/>
      <c r="C379" s="27"/>
      <c r="D379" s="21"/>
      <c r="E379" s="28"/>
      <c r="F379" s="28"/>
      <c r="G379" s="21"/>
      <c r="H379" s="29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</row>
    <row r="380" spans="1:48" x14ac:dyDescent="0.25">
      <c r="A380" s="21"/>
      <c r="B380" s="21"/>
      <c r="C380" s="27"/>
      <c r="D380" s="21"/>
      <c r="E380" s="28"/>
      <c r="F380" s="28"/>
      <c r="G380" s="21"/>
      <c r="H380" s="29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</row>
    <row r="381" spans="1:48" x14ac:dyDescent="0.25">
      <c r="A381" s="21"/>
      <c r="B381" s="21"/>
      <c r="C381" s="27"/>
      <c r="D381" s="21"/>
      <c r="E381" s="28"/>
      <c r="F381" s="28"/>
      <c r="G381" s="21"/>
      <c r="H381" s="29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</row>
    <row r="382" spans="1:48" x14ac:dyDescent="0.25">
      <c r="A382" s="21"/>
      <c r="B382" s="21"/>
      <c r="C382" s="27"/>
      <c r="D382" s="21"/>
      <c r="E382" s="28"/>
      <c r="F382" s="28"/>
      <c r="G382" s="21"/>
      <c r="H382" s="29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</row>
    <row r="383" spans="1:48" x14ac:dyDescent="0.25">
      <c r="A383" s="21"/>
      <c r="B383" s="21"/>
      <c r="C383" s="27"/>
      <c r="D383" s="21"/>
      <c r="E383" s="28"/>
      <c r="F383" s="28"/>
      <c r="G383" s="21"/>
      <c r="H383" s="29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</row>
    <row r="384" spans="1:48" x14ac:dyDescent="0.25">
      <c r="A384" s="21"/>
      <c r="B384" s="21"/>
      <c r="C384" s="27"/>
      <c r="D384" s="21"/>
      <c r="E384" s="28"/>
      <c r="F384" s="28"/>
      <c r="G384" s="21"/>
      <c r="H384" s="29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</row>
    <row r="385" spans="1:48" x14ac:dyDescent="0.25">
      <c r="A385" s="21"/>
      <c r="B385" s="21"/>
      <c r="C385" s="27"/>
      <c r="D385" s="21"/>
      <c r="E385" s="28"/>
      <c r="F385" s="28"/>
      <c r="G385" s="21"/>
      <c r="H385" s="29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</row>
    <row r="386" spans="1:48" x14ac:dyDescent="0.25">
      <c r="A386" s="21"/>
      <c r="B386" s="21"/>
      <c r="C386" s="27"/>
      <c r="D386" s="21"/>
      <c r="E386" s="28"/>
      <c r="F386" s="28"/>
      <c r="G386" s="21"/>
      <c r="H386" s="29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</row>
    <row r="387" spans="1:48" x14ac:dyDescent="0.25">
      <c r="A387" s="21"/>
      <c r="B387" s="21"/>
      <c r="C387" s="27"/>
      <c r="D387" s="21"/>
      <c r="E387" s="28"/>
      <c r="F387" s="28"/>
      <c r="G387" s="21"/>
      <c r="H387" s="29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</row>
    <row r="388" spans="1:48" x14ac:dyDescent="0.25">
      <c r="A388" s="21"/>
      <c r="B388" s="21"/>
      <c r="C388" s="27"/>
      <c r="D388" s="21"/>
      <c r="E388" s="28"/>
      <c r="F388" s="28"/>
      <c r="G388" s="21"/>
      <c r="H388" s="29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</row>
    <row r="389" spans="1:48" x14ac:dyDescent="0.25">
      <c r="A389" s="21"/>
      <c r="B389" s="21"/>
      <c r="C389" s="27"/>
      <c r="D389" s="21"/>
      <c r="E389" s="28"/>
      <c r="F389" s="28"/>
      <c r="G389" s="21"/>
      <c r="H389" s="29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</row>
    <row r="390" spans="1:48" x14ac:dyDescent="0.25">
      <c r="A390" s="21"/>
      <c r="B390" s="21"/>
      <c r="C390" s="27"/>
      <c r="D390" s="21"/>
      <c r="E390" s="28"/>
      <c r="F390" s="28"/>
      <c r="G390" s="21"/>
      <c r="H390" s="29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</row>
    <row r="391" spans="1:48" x14ac:dyDescent="0.25">
      <c r="A391" s="21"/>
      <c r="B391" s="21"/>
      <c r="C391" s="27"/>
      <c r="D391" s="21"/>
      <c r="E391" s="28"/>
      <c r="F391" s="28"/>
      <c r="G391" s="21"/>
      <c r="H391" s="29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</row>
    <row r="392" spans="1:48" x14ac:dyDescent="0.25">
      <c r="A392" s="21"/>
      <c r="B392" s="21"/>
      <c r="C392" s="27"/>
      <c r="D392" s="21"/>
      <c r="E392" s="28"/>
      <c r="F392" s="28"/>
      <c r="G392" s="21"/>
      <c r="H392" s="29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</row>
    <row r="393" spans="1:48" x14ac:dyDescent="0.25">
      <c r="A393" s="21"/>
      <c r="B393" s="21"/>
      <c r="C393" s="27"/>
      <c r="D393" s="21"/>
      <c r="E393" s="28"/>
      <c r="F393" s="28"/>
      <c r="G393" s="21"/>
      <c r="H393" s="29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</row>
    <row r="394" spans="1:48" x14ac:dyDescent="0.25">
      <c r="A394" s="21"/>
      <c r="B394" s="21"/>
      <c r="C394" s="27"/>
      <c r="D394" s="21"/>
      <c r="E394" s="28"/>
      <c r="F394" s="28"/>
      <c r="G394" s="21"/>
      <c r="H394" s="29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</row>
    <row r="395" spans="1:48" x14ac:dyDescent="0.25">
      <c r="A395" s="21"/>
      <c r="B395" s="21"/>
      <c r="C395" s="27"/>
      <c r="D395" s="21"/>
      <c r="E395" s="28"/>
      <c r="F395" s="28"/>
      <c r="G395" s="21"/>
      <c r="H395" s="29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</row>
    <row r="396" spans="1:48" x14ac:dyDescent="0.25">
      <c r="A396" s="21"/>
      <c r="B396" s="21"/>
      <c r="C396" s="27"/>
      <c r="D396" s="21"/>
      <c r="E396" s="28"/>
      <c r="F396" s="28"/>
      <c r="G396" s="21"/>
      <c r="H396" s="29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</row>
    <row r="397" spans="1:48" x14ac:dyDescent="0.25">
      <c r="A397" s="21"/>
      <c r="B397" s="21"/>
      <c r="C397" s="27"/>
      <c r="D397" s="21"/>
      <c r="E397" s="28"/>
      <c r="F397" s="28"/>
      <c r="G397" s="21"/>
      <c r="H397" s="29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</row>
    <row r="398" spans="1:48" x14ac:dyDescent="0.25">
      <c r="A398" s="21"/>
      <c r="B398" s="21"/>
      <c r="C398" s="27"/>
      <c r="D398" s="21"/>
      <c r="E398" s="28"/>
      <c r="F398" s="28"/>
      <c r="G398" s="21"/>
      <c r="H398" s="29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</row>
    <row r="399" spans="1:48" x14ac:dyDescent="0.25">
      <c r="A399" s="21"/>
      <c r="B399" s="21"/>
      <c r="C399" s="27"/>
      <c r="D399" s="21"/>
      <c r="E399" s="28"/>
      <c r="F399" s="28"/>
      <c r="G399" s="21"/>
      <c r="H399" s="29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</row>
    <row r="400" spans="1:48" x14ac:dyDescent="0.25">
      <c r="A400" s="21"/>
      <c r="B400" s="21"/>
      <c r="C400" s="27"/>
      <c r="D400" s="21"/>
      <c r="E400" s="28"/>
      <c r="F400" s="28"/>
      <c r="G400" s="21"/>
      <c r="H400" s="29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</row>
    <row r="401" spans="1:48" x14ac:dyDescent="0.25">
      <c r="A401" s="21"/>
      <c r="B401" s="21"/>
      <c r="C401" s="27"/>
      <c r="D401" s="21"/>
      <c r="E401" s="28"/>
      <c r="F401" s="28"/>
      <c r="G401" s="21"/>
      <c r="H401" s="29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</row>
    <row r="402" spans="1:48" x14ac:dyDescent="0.25">
      <c r="A402" s="21"/>
      <c r="B402" s="21"/>
      <c r="C402" s="27"/>
      <c r="D402" s="21"/>
      <c r="E402" s="28"/>
      <c r="F402" s="28"/>
      <c r="G402" s="21"/>
      <c r="H402" s="29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</row>
    <row r="403" spans="1:48" x14ac:dyDescent="0.25">
      <c r="A403" s="21"/>
      <c r="B403" s="21"/>
      <c r="C403" s="27"/>
      <c r="D403" s="21"/>
      <c r="E403" s="28"/>
      <c r="F403" s="28"/>
      <c r="G403" s="21"/>
      <c r="H403" s="29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</row>
    <row r="404" spans="1:48" x14ac:dyDescent="0.25">
      <c r="A404" s="21"/>
      <c r="B404" s="21"/>
      <c r="C404" s="27"/>
      <c r="D404" s="21"/>
      <c r="E404" s="28"/>
      <c r="F404" s="28"/>
      <c r="G404" s="21"/>
      <c r="H404" s="29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</row>
    <row r="405" spans="1:48" x14ac:dyDescent="0.25">
      <c r="A405" s="21"/>
      <c r="B405" s="21"/>
      <c r="C405" s="27"/>
      <c r="D405" s="21"/>
      <c r="E405" s="28"/>
      <c r="F405" s="28"/>
      <c r="G405" s="21"/>
      <c r="H405" s="29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</row>
    <row r="406" spans="1:48" x14ac:dyDescent="0.25">
      <c r="A406" s="21"/>
      <c r="B406" s="21"/>
      <c r="C406" s="27"/>
      <c r="D406" s="21"/>
      <c r="E406" s="28"/>
      <c r="F406" s="28"/>
      <c r="G406" s="21"/>
      <c r="H406" s="29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</row>
    <row r="407" spans="1:48" x14ac:dyDescent="0.25">
      <c r="A407" s="21"/>
      <c r="B407" s="21"/>
      <c r="C407" s="27"/>
      <c r="D407" s="21"/>
      <c r="E407" s="28"/>
      <c r="F407" s="28"/>
      <c r="G407" s="21"/>
      <c r="H407" s="29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</row>
    <row r="408" spans="1:48" x14ac:dyDescent="0.25">
      <c r="A408" s="21"/>
      <c r="B408" s="21"/>
      <c r="C408" s="27"/>
      <c r="D408" s="21"/>
      <c r="E408" s="28"/>
      <c r="F408" s="28"/>
      <c r="G408" s="21"/>
      <c r="H408" s="29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</row>
    <row r="409" spans="1:48" x14ac:dyDescent="0.25">
      <c r="A409" s="21"/>
      <c r="B409" s="21"/>
      <c r="C409" s="27"/>
      <c r="D409" s="21"/>
      <c r="E409" s="28"/>
      <c r="F409" s="28"/>
      <c r="G409" s="21"/>
      <c r="H409" s="29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</row>
    <row r="410" spans="1:48" x14ac:dyDescent="0.25">
      <c r="A410" s="21"/>
      <c r="B410" s="21"/>
      <c r="C410" s="27"/>
      <c r="D410" s="21"/>
      <c r="E410" s="28"/>
      <c r="F410" s="28"/>
      <c r="G410" s="21"/>
      <c r="H410" s="29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</row>
    <row r="411" spans="1:48" x14ac:dyDescent="0.25">
      <c r="A411" s="21"/>
      <c r="B411" s="21"/>
      <c r="C411" s="27"/>
      <c r="D411" s="21"/>
      <c r="E411" s="28"/>
      <c r="F411" s="28"/>
      <c r="G411" s="21"/>
      <c r="H411" s="29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</row>
    <row r="412" spans="1:48" x14ac:dyDescent="0.25">
      <c r="A412" s="21"/>
      <c r="B412" s="21"/>
      <c r="C412" s="27"/>
      <c r="D412" s="21"/>
      <c r="E412" s="28"/>
      <c r="F412" s="28"/>
      <c r="G412" s="21"/>
      <c r="H412" s="29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</row>
    <row r="413" spans="1:48" x14ac:dyDescent="0.25">
      <c r="A413" s="21"/>
      <c r="B413" s="21"/>
      <c r="C413" s="27"/>
      <c r="D413" s="21"/>
      <c r="E413" s="28"/>
      <c r="F413" s="28"/>
      <c r="G413" s="21"/>
      <c r="H413" s="29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</row>
    <row r="414" spans="1:48" x14ac:dyDescent="0.25">
      <c r="A414" s="21"/>
      <c r="B414" s="21"/>
      <c r="C414" s="27"/>
      <c r="D414" s="21"/>
      <c r="E414" s="28"/>
      <c r="F414" s="28"/>
      <c r="G414" s="21"/>
      <c r="H414" s="29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</row>
    <row r="415" spans="1:48" x14ac:dyDescent="0.25">
      <c r="A415" s="21"/>
      <c r="B415" s="21"/>
      <c r="C415" s="27"/>
      <c r="D415" s="21"/>
      <c r="E415" s="28"/>
      <c r="F415" s="28"/>
      <c r="G415" s="21"/>
      <c r="H415" s="29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</row>
    <row r="416" spans="1:48" x14ac:dyDescent="0.25">
      <c r="A416" s="21"/>
      <c r="B416" s="21"/>
      <c r="C416" s="27"/>
      <c r="D416" s="21"/>
      <c r="E416" s="28"/>
      <c r="F416" s="28"/>
      <c r="G416" s="21"/>
      <c r="H416" s="29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</row>
    <row r="417" spans="1:48" x14ac:dyDescent="0.25">
      <c r="A417" s="21"/>
      <c r="B417" s="21"/>
      <c r="C417" s="27"/>
      <c r="D417" s="21"/>
      <c r="E417" s="28"/>
      <c r="F417" s="28"/>
      <c r="G417" s="21"/>
      <c r="H417" s="29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</row>
    <row r="418" spans="1:48" x14ac:dyDescent="0.25">
      <c r="A418" s="21"/>
      <c r="B418" s="21"/>
      <c r="C418" s="27"/>
      <c r="D418" s="21"/>
      <c r="E418" s="28"/>
      <c r="F418" s="28"/>
      <c r="G418" s="21"/>
      <c r="H418" s="29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</row>
    <row r="419" spans="1:48" x14ac:dyDescent="0.25">
      <c r="A419" s="21"/>
      <c r="B419" s="21"/>
      <c r="C419" s="27"/>
      <c r="D419" s="21"/>
      <c r="E419" s="28"/>
      <c r="F419" s="28"/>
      <c r="G419" s="21"/>
      <c r="H419" s="29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</row>
    <row r="420" spans="1:48" x14ac:dyDescent="0.25">
      <c r="A420" s="21"/>
      <c r="B420" s="21"/>
      <c r="C420" s="27"/>
      <c r="D420" s="21"/>
      <c r="E420" s="28"/>
      <c r="F420" s="28"/>
      <c r="G420" s="21"/>
      <c r="H420" s="29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</row>
    <row r="421" spans="1:48" x14ac:dyDescent="0.25">
      <c r="A421" s="21"/>
      <c r="B421" s="21"/>
      <c r="C421" s="27"/>
      <c r="D421" s="21"/>
      <c r="E421" s="28"/>
      <c r="F421" s="28"/>
      <c r="G421" s="21"/>
      <c r="H421" s="29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</row>
    <row r="422" spans="1:48" x14ac:dyDescent="0.25">
      <c r="A422" s="21"/>
      <c r="B422" s="21"/>
      <c r="C422" s="27"/>
      <c r="D422" s="21"/>
      <c r="E422" s="28"/>
      <c r="F422" s="28"/>
      <c r="G422" s="21"/>
      <c r="H422" s="29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</row>
    <row r="423" spans="1:48" x14ac:dyDescent="0.25">
      <c r="A423" s="21"/>
      <c r="B423" s="21"/>
      <c r="C423" s="27"/>
      <c r="D423" s="21"/>
      <c r="E423" s="28"/>
      <c r="F423" s="28"/>
      <c r="G423" s="21"/>
      <c r="H423" s="29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</row>
    <row r="424" spans="1:48" x14ac:dyDescent="0.25">
      <c r="A424" s="21"/>
      <c r="B424" s="21"/>
      <c r="C424" s="27"/>
      <c r="D424" s="21"/>
      <c r="E424" s="28"/>
      <c r="F424" s="28"/>
      <c r="G424" s="21"/>
      <c r="H424" s="29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</row>
    <row r="425" spans="1:48" x14ac:dyDescent="0.25">
      <c r="A425" s="21"/>
      <c r="B425" s="21"/>
      <c r="C425" s="27"/>
      <c r="D425" s="21"/>
      <c r="E425" s="28"/>
      <c r="F425" s="28"/>
      <c r="G425" s="21"/>
      <c r="H425" s="29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</row>
    <row r="426" spans="1:48" x14ac:dyDescent="0.25">
      <c r="A426" s="21"/>
      <c r="B426" s="21"/>
      <c r="C426" s="27"/>
      <c r="D426" s="21"/>
      <c r="E426" s="28"/>
      <c r="F426" s="28"/>
      <c r="G426" s="21"/>
      <c r="H426" s="29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</row>
    <row r="427" spans="1:48" x14ac:dyDescent="0.25">
      <c r="A427" s="21"/>
      <c r="B427" s="21"/>
      <c r="C427" s="27"/>
      <c r="D427" s="21"/>
      <c r="E427" s="28"/>
      <c r="F427" s="28"/>
      <c r="G427" s="21"/>
      <c r="H427" s="29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</row>
    <row r="428" spans="1:48" x14ac:dyDescent="0.25">
      <c r="A428" s="21"/>
      <c r="B428" s="21"/>
      <c r="C428" s="27"/>
      <c r="D428" s="21"/>
      <c r="E428" s="28"/>
      <c r="F428" s="28"/>
      <c r="G428" s="21"/>
      <c r="H428" s="29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</row>
    <row r="429" spans="1:48" x14ac:dyDescent="0.25">
      <c r="A429" s="21"/>
      <c r="B429" s="21"/>
      <c r="C429" s="27"/>
      <c r="D429" s="21"/>
      <c r="E429" s="28"/>
      <c r="F429" s="28"/>
      <c r="G429" s="21"/>
      <c r="H429" s="29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</row>
    <row r="430" spans="1:48" x14ac:dyDescent="0.25">
      <c r="A430" s="21"/>
      <c r="B430" s="21"/>
      <c r="C430" s="27"/>
      <c r="D430" s="21"/>
      <c r="E430" s="28"/>
      <c r="F430" s="28"/>
      <c r="G430" s="21"/>
      <c r="H430" s="29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</row>
    <row r="431" spans="1:48" x14ac:dyDescent="0.25">
      <c r="A431" s="21"/>
      <c r="B431" s="21"/>
      <c r="C431" s="27"/>
      <c r="D431" s="21"/>
      <c r="E431" s="28"/>
      <c r="F431" s="28"/>
      <c r="G431" s="21"/>
      <c r="H431" s="29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</row>
    <row r="432" spans="1:48" x14ac:dyDescent="0.25">
      <c r="A432" s="21"/>
      <c r="B432" s="21"/>
      <c r="C432" s="27"/>
      <c r="D432" s="21"/>
      <c r="E432" s="28"/>
      <c r="F432" s="28"/>
      <c r="G432" s="21"/>
      <c r="H432" s="29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</row>
    <row r="433" spans="1:48" x14ac:dyDescent="0.25">
      <c r="A433" s="21"/>
      <c r="B433" s="21"/>
      <c r="C433" s="27"/>
      <c r="D433" s="21"/>
      <c r="E433" s="28"/>
      <c r="F433" s="28"/>
      <c r="G433" s="21"/>
      <c r="H433" s="29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</row>
    <row r="434" spans="1:48" x14ac:dyDescent="0.25">
      <c r="A434" s="21"/>
      <c r="B434" s="21"/>
      <c r="C434" s="27"/>
      <c r="D434" s="21"/>
      <c r="E434" s="28"/>
      <c r="F434" s="28"/>
      <c r="G434" s="21"/>
      <c r="H434" s="29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</row>
    <row r="435" spans="1:48" x14ac:dyDescent="0.25">
      <c r="A435" s="21"/>
      <c r="B435" s="21"/>
      <c r="C435" s="27"/>
      <c r="D435" s="21"/>
      <c r="E435" s="28"/>
      <c r="F435" s="28"/>
      <c r="G435" s="21"/>
      <c r="H435" s="29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</row>
    <row r="436" spans="1:48" x14ac:dyDescent="0.25">
      <c r="A436" s="21"/>
      <c r="B436" s="21"/>
      <c r="C436" s="27"/>
      <c r="D436" s="21"/>
      <c r="E436" s="28"/>
      <c r="F436" s="28"/>
      <c r="G436" s="21"/>
      <c r="H436" s="29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</row>
    <row r="437" spans="1:48" x14ac:dyDescent="0.25">
      <c r="A437" s="21"/>
      <c r="B437" s="21"/>
      <c r="C437" s="27"/>
      <c r="D437" s="21"/>
      <c r="E437" s="28"/>
      <c r="F437" s="28"/>
      <c r="G437" s="21"/>
      <c r="H437" s="29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</row>
    <row r="438" spans="1:48" x14ac:dyDescent="0.25">
      <c r="A438" s="21"/>
      <c r="B438" s="21"/>
      <c r="C438" s="27"/>
      <c r="D438" s="21"/>
      <c r="E438" s="28"/>
      <c r="F438" s="28"/>
      <c r="G438" s="21"/>
      <c r="H438" s="29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</row>
    <row r="439" spans="1:48" x14ac:dyDescent="0.25">
      <c r="A439" s="21"/>
      <c r="B439" s="21"/>
      <c r="C439" s="27"/>
      <c r="D439" s="21"/>
      <c r="E439" s="28"/>
      <c r="F439" s="28"/>
      <c r="G439" s="21"/>
      <c r="H439" s="29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</row>
    <row r="440" spans="1:48" x14ac:dyDescent="0.25">
      <c r="A440" s="21"/>
      <c r="B440" s="21"/>
      <c r="C440" s="27"/>
      <c r="D440" s="21"/>
      <c r="E440" s="28"/>
      <c r="F440" s="28"/>
      <c r="G440" s="21"/>
      <c r="H440" s="29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</row>
    <row r="441" spans="1:48" x14ac:dyDescent="0.25">
      <c r="A441" s="21"/>
      <c r="B441" s="21"/>
      <c r="C441" s="27"/>
      <c r="D441" s="21"/>
      <c r="E441" s="28"/>
      <c r="F441" s="28"/>
      <c r="G441" s="21"/>
      <c r="H441" s="29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</row>
    <row r="442" spans="1:48" x14ac:dyDescent="0.25">
      <c r="A442" s="21"/>
      <c r="B442" s="21"/>
      <c r="C442" s="27"/>
      <c r="D442" s="21"/>
      <c r="E442" s="28"/>
      <c r="F442" s="28"/>
      <c r="G442" s="21"/>
      <c r="H442" s="29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</row>
    <row r="443" spans="1:48" x14ac:dyDescent="0.25">
      <c r="A443" s="21"/>
      <c r="B443" s="21"/>
      <c r="C443" s="27"/>
      <c r="D443" s="21"/>
      <c r="E443" s="28"/>
      <c r="F443" s="28"/>
      <c r="G443" s="21"/>
      <c r="H443" s="29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</row>
    <row r="444" spans="1:48" x14ac:dyDescent="0.25">
      <c r="A444" s="21"/>
      <c r="B444" s="21"/>
      <c r="C444" s="27"/>
      <c r="D444" s="21"/>
      <c r="E444" s="28"/>
      <c r="F444" s="28"/>
      <c r="G444" s="21"/>
      <c r="H444" s="29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</row>
    <row r="445" spans="1:48" x14ac:dyDescent="0.25">
      <c r="A445" s="21"/>
      <c r="B445" s="21"/>
      <c r="C445" s="27"/>
      <c r="D445" s="21"/>
      <c r="E445" s="28"/>
      <c r="F445" s="28"/>
      <c r="G445" s="21"/>
      <c r="H445" s="29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</row>
    <row r="446" spans="1:48" x14ac:dyDescent="0.25">
      <c r="A446" s="21"/>
      <c r="B446" s="21"/>
      <c r="C446" s="27"/>
      <c r="D446" s="21"/>
      <c r="E446" s="28"/>
      <c r="F446" s="28"/>
      <c r="G446" s="21"/>
      <c r="H446" s="29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</row>
    <row r="447" spans="1:48" x14ac:dyDescent="0.25">
      <c r="A447" s="21"/>
      <c r="B447" s="21"/>
      <c r="C447" s="27"/>
      <c r="D447" s="21"/>
      <c r="E447" s="28"/>
      <c r="F447" s="28"/>
      <c r="G447" s="21"/>
      <c r="H447" s="29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</row>
    <row r="448" spans="1:48" x14ac:dyDescent="0.25">
      <c r="A448" s="21"/>
      <c r="B448" s="21"/>
      <c r="C448" s="27"/>
      <c r="D448" s="21"/>
      <c r="E448" s="28"/>
      <c r="F448" s="28"/>
      <c r="G448" s="21"/>
      <c r="H448" s="29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</row>
    <row r="449" spans="1:48" x14ac:dyDescent="0.25">
      <c r="A449" s="21"/>
      <c r="B449" s="21"/>
      <c r="C449" s="27"/>
      <c r="D449" s="21"/>
      <c r="E449" s="28"/>
      <c r="F449" s="28"/>
      <c r="G449" s="21"/>
      <c r="H449" s="29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</row>
    <row r="450" spans="1:48" x14ac:dyDescent="0.25">
      <c r="A450" s="21"/>
      <c r="B450" s="21"/>
      <c r="C450" s="27"/>
      <c r="D450" s="21"/>
      <c r="E450" s="28"/>
      <c r="F450" s="28"/>
      <c r="G450" s="21"/>
      <c r="H450" s="29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</row>
    <row r="451" spans="1:48" x14ac:dyDescent="0.25">
      <c r="A451" s="21"/>
      <c r="B451" s="21"/>
      <c r="C451" s="27"/>
      <c r="D451" s="21"/>
      <c r="E451" s="28"/>
      <c r="F451" s="28"/>
      <c r="G451" s="21"/>
      <c r="H451" s="29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</row>
    <row r="452" spans="1:48" x14ac:dyDescent="0.25">
      <c r="A452" s="21"/>
      <c r="B452" s="21"/>
      <c r="C452" s="27"/>
      <c r="D452" s="21"/>
      <c r="E452" s="28"/>
      <c r="F452" s="28"/>
      <c r="G452" s="21"/>
      <c r="H452" s="29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</row>
    <row r="453" spans="1:48" x14ac:dyDescent="0.25">
      <c r="A453" s="21"/>
      <c r="B453" s="21"/>
      <c r="C453" s="27"/>
      <c r="D453" s="21"/>
      <c r="E453" s="28"/>
      <c r="F453" s="28"/>
      <c r="G453" s="21"/>
      <c r="H453" s="29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</row>
    <row r="454" spans="1:48" x14ac:dyDescent="0.25">
      <c r="A454" s="21"/>
      <c r="B454" s="21"/>
      <c r="C454" s="27"/>
      <c r="D454" s="21"/>
      <c r="E454" s="28"/>
      <c r="F454" s="28"/>
      <c r="G454" s="21"/>
      <c r="H454" s="29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</row>
    <row r="455" spans="1:48" x14ac:dyDescent="0.25">
      <c r="A455" s="21"/>
      <c r="B455" s="21"/>
      <c r="C455" s="27"/>
      <c r="D455" s="21"/>
      <c r="E455" s="28"/>
      <c r="F455" s="28"/>
      <c r="G455" s="21"/>
      <c r="H455" s="29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</row>
    <row r="456" spans="1:48" x14ac:dyDescent="0.25">
      <c r="A456" s="21"/>
      <c r="B456" s="21"/>
      <c r="C456" s="27"/>
      <c r="D456" s="21"/>
      <c r="E456" s="28"/>
      <c r="F456" s="28"/>
      <c r="G456" s="21"/>
      <c r="H456" s="29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</row>
    <row r="457" spans="1:48" x14ac:dyDescent="0.25">
      <c r="A457" s="21"/>
      <c r="B457" s="21"/>
      <c r="C457" s="27"/>
      <c r="D457" s="21"/>
      <c r="E457" s="28"/>
      <c r="F457" s="28"/>
      <c r="G457" s="21"/>
      <c r="H457" s="29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</row>
    <row r="458" spans="1:48" x14ac:dyDescent="0.25">
      <c r="A458" s="21"/>
      <c r="B458" s="21"/>
      <c r="C458" s="27"/>
      <c r="D458" s="21"/>
      <c r="E458" s="28"/>
      <c r="F458" s="28"/>
      <c r="G458" s="21"/>
      <c r="H458" s="29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</row>
    <row r="459" spans="1:48" x14ac:dyDescent="0.25">
      <c r="A459" s="21"/>
      <c r="B459" s="21"/>
      <c r="C459" s="27"/>
      <c r="D459" s="21"/>
      <c r="E459" s="28"/>
      <c r="F459" s="28"/>
      <c r="G459" s="21"/>
      <c r="H459" s="29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</row>
    <row r="460" spans="1:48" x14ac:dyDescent="0.25">
      <c r="A460" s="21"/>
      <c r="B460" s="21"/>
      <c r="C460" s="27"/>
      <c r="D460" s="21"/>
      <c r="E460" s="28"/>
      <c r="F460" s="28"/>
      <c r="G460" s="21"/>
      <c r="H460" s="29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</row>
    <row r="461" spans="1:48" x14ac:dyDescent="0.25">
      <c r="A461" s="21"/>
      <c r="B461" s="21"/>
      <c r="C461" s="27"/>
      <c r="D461" s="21"/>
      <c r="E461" s="28"/>
      <c r="F461" s="28"/>
      <c r="G461" s="21"/>
      <c r="H461" s="29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</row>
    <row r="462" spans="1:48" x14ac:dyDescent="0.25">
      <c r="A462" s="21"/>
      <c r="B462" s="21"/>
      <c r="C462" s="27"/>
      <c r="D462" s="21"/>
      <c r="E462" s="28"/>
      <c r="F462" s="28"/>
      <c r="G462" s="21"/>
      <c r="H462" s="29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</row>
    <row r="463" spans="1:48" x14ac:dyDescent="0.25">
      <c r="A463" s="21"/>
      <c r="B463" s="21"/>
      <c r="C463" s="27"/>
      <c r="D463" s="21"/>
      <c r="E463" s="28"/>
      <c r="F463" s="28"/>
      <c r="G463" s="21"/>
      <c r="H463" s="29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</row>
    <row r="464" spans="1:48" x14ac:dyDescent="0.25">
      <c r="A464" s="21"/>
      <c r="B464" s="21"/>
      <c r="C464" s="27"/>
      <c r="D464" s="21"/>
      <c r="E464" s="28"/>
      <c r="F464" s="28"/>
      <c r="G464" s="21"/>
      <c r="H464" s="29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</row>
    <row r="465" spans="1:48" x14ac:dyDescent="0.25">
      <c r="A465" s="21"/>
      <c r="B465" s="21"/>
      <c r="C465" s="27"/>
      <c r="D465" s="21"/>
      <c r="E465" s="28"/>
      <c r="F465" s="28"/>
      <c r="G465" s="21"/>
      <c r="H465" s="29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</row>
    <row r="466" spans="1:48" x14ac:dyDescent="0.25">
      <c r="A466" s="21"/>
      <c r="B466" s="21"/>
      <c r="C466" s="27"/>
      <c r="D466" s="21"/>
      <c r="E466" s="28"/>
      <c r="F466" s="28"/>
      <c r="G466" s="21"/>
      <c r="H466" s="29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</row>
    <row r="467" spans="1:48" x14ac:dyDescent="0.25">
      <c r="A467" s="21"/>
      <c r="B467" s="21"/>
      <c r="C467" s="27"/>
      <c r="D467" s="21"/>
      <c r="E467" s="28"/>
      <c r="F467" s="28"/>
      <c r="G467" s="21"/>
      <c r="H467" s="29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</row>
    <row r="468" spans="1:48" x14ac:dyDescent="0.25">
      <c r="A468" s="21"/>
      <c r="B468" s="21"/>
      <c r="C468" s="27"/>
      <c r="D468" s="21"/>
      <c r="E468" s="28"/>
      <c r="F468" s="28"/>
      <c r="G468" s="21"/>
      <c r="H468" s="29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</row>
    <row r="469" spans="1:48" x14ac:dyDescent="0.25">
      <c r="A469" s="21"/>
      <c r="B469" s="21"/>
      <c r="C469" s="27"/>
      <c r="D469" s="21"/>
      <c r="E469" s="28"/>
      <c r="F469" s="28"/>
      <c r="G469" s="21"/>
      <c r="H469" s="29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</row>
    <row r="470" spans="1:48" x14ac:dyDescent="0.25">
      <c r="A470" s="21"/>
      <c r="B470" s="21"/>
      <c r="C470" s="27"/>
      <c r="D470" s="21"/>
      <c r="E470" s="28"/>
      <c r="F470" s="28"/>
      <c r="G470" s="21"/>
      <c r="H470" s="29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</row>
    <row r="471" spans="1:48" x14ac:dyDescent="0.25">
      <c r="A471" s="21"/>
      <c r="B471" s="21"/>
      <c r="C471" s="27"/>
      <c r="D471" s="21"/>
      <c r="E471" s="28"/>
      <c r="F471" s="28"/>
      <c r="G471" s="21"/>
      <c r="H471" s="29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</row>
    <row r="472" spans="1:48" x14ac:dyDescent="0.25">
      <c r="A472" s="21"/>
      <c r="B472" s="21"/>
      <c r="C472" s="27"/>
      <c r="D472" s="21"/>
      <c r="E472" s="28"/>
      <c r="F472" s="28"/>
      <c r="G472" s="21"/>
      <c r="H472" s="29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</row>
    <row r="473" spans="1:48" x14ac:dyDescent="0.25">
      <c r="A473" s="21"/>
      <c r="B473" s="21"/>
      <c r="C473" s="27"/>
      <c r="D473" s="21"/>
      <c r="E473" s="28"/>
      <c r="F473" s="28"/>
      <c r="G473" s="21"/>
      <c r="H473" s="29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</row>
    <row r="474" spans="1:48" x14ac:dyDescent="0.25">
      <c r="A474" s="21"/>
      <c r="B474" s="21"/>
      <c r="C474" s="27"/>
      <c r="D474" s="21"/>
      <c r="E474" s="28"/>
      <c r="F474" s="28"/>
      <c r="G474" s="21"/>
      <c r="H474" s="29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</row>
    <row r="475" spans="1:48" x14ac:dyDescent="0.25">
      <c r="A475" s="21"/>
      <c r="B475" s="21"/>
      <c r="C475" s="27"/>
      <c r="D475" s="21"/>
      <c r="E475" s="28"/>
      <c r="F475" s="28"/>
      <c r="G475" s="21"/>
      <c r="H475" s="29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</row>
    <row r="476" spans="1:48" x14ac:dyDescent="0.25">
      <c r="A476" s="21"/>
      <c r="B476" s="21"/>
      <c r="C476" s="27"/>
      <c r="D476" s="21"/>
      <c r="E476" s="28"/>
      <c r="F476" s="28"/>
      <c r="G476" s="21"/>
      <c r="H476" s="29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</row>
    <row r="477" spans="1:48" x14ac:dyDescent="0.25">
      <c r="A477" s="21"/>
      <c r="B477" s="21"/>
      <c r="C477" s="27"/>
      <c r="D477" s="21"/>
      <c r="E477" s="28"/>
      <c r="F477" s="28"/>
      <c r="G477" s="21"/>
      <c r="H477" s="29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</row>
    <row r="478" spans="1:48" x14ac:dyDescent="0.25">
      <c r="A478" s="21"/>
      <c r="B478" s="21"/>
      <c r="C478" s="27"/>
      <c r="D478" s="21"/>
      <c r="E478" s="28"/>
      <c r="F478" s="28"/>
      <c r="G478" s="21"/>
      <c r="H478" s="29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</row>
    <row r="479" spans="1:48" x14ac:dyDescent="0.25">
      <c r="A479" s="21"/>
      <c r="B479" s="21"/>
      <c r="C479" s="27"/>
      <c r="D479" s="21"/>
      <c r="E479" s="28"/>
      <c r="F479" s="28"/>
      <c r="G479" s="21"/>
      <c r="H479" s="29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</row>
    <row r="480" spans="1:48" x14ac:dyDescent="0.25">
      <c r="A480" s="21"/>
      <c r="B480" s="21"/>
      <c r="C480" s="27"/>
      <c r="D480" s="21"/>
      <c r="E480" s="28"/>
      <c r="F480" s="28"/>
      <c r="G480" s="21"/>
      <c r="H480" s="29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</row>
    <row r="481" spans="1:48" x14ac:dyDescent="0.25">
      <c r="A481" s="21"/>
      <c r="B481" s="21"/>
      <c r="C481" s="27"/>
      <c r="D481" s="21"/>
      <c r="E481" s="28"/>
      <c r="F481" s="28"/>
      <c r="G481" s="21"/>
      <c r="H481" s="29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</row>
    <row r="482" spans="1:48" x14ac:dyDescent="0.25">
      <c r="A482" s="21"/>
      <c r="B482" s="21"/>
      <c r="C482" s="27"/>
      <c r="D482" s="21"/>
      <c r="E482" s="28"/>
      <c r="F482" s="28"/>
      <c r="G482" s="21"/>
      <c r="H482" s="29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</row>
    <row r="483" spans="1:48" x14ac:dyDescent="0.25">
      <c r="A483" s="21"/>
      <c r="B483" s="21"/>
      <c r="C483" s="27"/>
      <c r="D483" s="21"/>
      <c r="E483" s="28"/>
      <c r="F483" s="28"/>
      <c r="G483" s="21"/>
      <c r="H483" s="29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</row>
    <row r="484" spans="1:48" x14ac:dyDescent="0.25">
      <c r="A484" s="21"/>
      <c r="B484" s="21"/>
      <c r="C484" s="27"/>
      <c r="D484" s="21"/>
      <c r="E484" s="28"/>
      <c r="F484" s="28"/>
      <c r="G484" s="21"/>
      <c r="H484" s="29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</row>
    <row r="485" spans="1:48" x14ac:dyDescent="0.25">
      <c r="A485" s="21"/>
      <c r="B485" s="21"/>
      <c r="C485" s="27"/>
      <c r="D485" s="21"/>
      <c r="E485" s="28"/>
      <c r="F485" s="28"/>
      <c r="G485" s="21"/>
      <c r="H485" s="29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</row>
    <row r="486" spans="1:48" x14ac:dyDescent="0.25">
      <c r="A486" s="21"/>
      <c r="B486" s="21"/>
      <c r="C486" s="27"/>
      <c r="D486" s="21"/>
      <c r="E486" s="28"/>
      <c r="F486" s="28"/>
      <c r="G486" s="21"/>
      <c r="H486" s="29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</row>
    <row r="487" spans="1:48" x14ac:dyDescent="0.25">
      <c r="A487" s="21"/>
      <c r="B487" s="21"/>
      <c r="C487" s="27"/>
      <c r="D487" s="21"/>
      <c r="E487" s="28"/>
      <c r="F487" s="28"/>
      <c r="G487" s="21"/>
      <c r="H487" s="29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</row>
    <row r="488" spans="1:48" x14ac:dyDescent="0.25">
      <c r="A488" s="21"/>
      <c r="B488" s="21"/>
      <c r="C488" s="27"/>
      <c r="D488" s="21"/>
      <c r="E488" s="28"/>
      <c r="F488" s="28"/>
      <c r="G488" s="21"/>
      <c r="H488" s="29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</row>
    <row r="489" spans="1:48" x14ac:dyDescent="0.25">
      <c r="A489" s="21"/>
      <c r="B489" s="21"/>
      <c r="C489" s="27"/>
      <c r="D489" s="21"/>
      <c r="E489" s="28"/>
      <c r="F489" s="28"/>
      <c r="G489" s="21"/>
      <c r="H489" s="29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</row>
    <row r="490" spans="1:48" x14ac:dyDescent="0.25">
      <c r="A490" s="21"/>
      <c r="B490" s="21"/>
      <c r="C490" s="27"/>
      <c r="D490" s="21"/>
      <c r="E490" s="28"/>
      <c r="F490" s="28"/>
      <c r="G490" s="21"/>
      <c r="H490" s="29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</row>
    <row r="491" spans="1:48" x14ac:dyDescent="0.25">
      <c r="A491" s="21"/>
      <c r="B491" s="21"/>
      <c r="C491" s="27"/>
      <c r="D491" s="21"/>
      <c r="E491" s="28"/>
      <c r="F491" s="28"/>
      <c r="G491" s="21"/>
      <c r="H491" s="29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</row>
    <row r="492" spans="1:48" x14ac:dyDescent="0.25">
      <c r="A492" s="21"/>
      <c r="B492" s="21"/>
      <c r="C492" s="27"/>
      <c r="D492" s="21"/>
      <c r="E492" s="28"/>
      <c r="F492" s="28"/>
      <c r="G492" s="21"/>
      <c r="H492" s="29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</row>
    <row r="493" spans="1:48" x14ac:dyDescent="0.25">
      <c r="A493" s="21"/>
      <c r="B493" s="21"/>
      <c r="C493" s="27"/>
      <c r="D493" s="21"/>
      <c r="E493" s="28"/>
      <c r="F493" s="28"/>
      <c r="G493" s="21"/>
      <c r="H493" s="29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</row>
    <row r="494" spans="1:48" x14ac:dyDescent="0.25">
      <c r="A494" s="21"/>
      <c r="B494" s="21"/>
      <c r="C494" s="27"/>
      <c r="D494" s="21"/>
      <c r="E494" s="28"/>
      <c r="F494" s="28"/>
      <c r="G494" s="21"/>
      <c r="H494" s="29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</row>
    <row r="495" spans="1:48" x14ac:dyDescent="0.25">
      <c r="A495" s="21"/>
      <c r="B495" s="21"/>
      <c r="C495" s="27"/>
      <c r="D495" s="21"/>
      <c r="E495" s="28"/>
      <c r="F495" s="28"/>
      <c r="G495" s="21"/>
      <c r="H495" s="29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</row>
    <row r="496" spans="1:48" x14ac:dyDescent="0.25">
      <c r="A496" s="21"/>
      <c r="B496" s="21"/>
      <c r="C496" s="27"/>
      <c r="D496" s="21"/>
      <c r="E496" s="28"/>
      <c r="F496" s="28"/>
      <c r="G496" s="21"/>
      <c r="H496" s="29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</row>
    <row r="497" spans="1:48" x14ac:dyDescent="0.25">
      <c r="A497" s="21"/>
      <c r="B497" s="21"/>
      <c r="C497" s="27"/>
      <c r="D497" s="21"/>
      <c r="E497" s="28"/>
      <c r="F497" s="28"/>
      <c r="G497" s="21"/>
      <c r="H497" s="29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</row>
    <row r="498" spans="1:48" x14ac:dyDescent="0.25">
      <c r="A498" s="21"/>
      <c r="B498" s="21"/>
      <c r="C498" s="27"/>
      <c r="D498" s="21"/>
      <c r="E498" s="28"/>
      <c r="F498" s="28"/>
      <c r="G498" s="21"/>
      <c r="H498" s="29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</row>
    <row r="499" spans="1:48" x14ac:dyDescent="0.25">
      <c r="A499" s="21"/>
      <c r="B499" s="21"/>
      <c r="C499" s="27"/>
      <c r="D499" s="21"/>
      <c r="E499" s="28"/>
      <c r="F499" s="28"/>
      <c r="G499" s="21"/>
      <c r="H499" s="29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</row>
    <row r="500" spans="1:48" x14ac:dyDescent="0.25">
      <c r="A500" s="21"/>
      <c r="B500" s="21"/>
      <c r="C500" s="27"/>
      <c r="D500" s="21"/>
      <c r="E500" s="28"/>
      <c r="F500" s="28"/>
      <c r="G500" s="21"/>
      <c r="H500" s="29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</row>
    <row r="501" spans="1:48" x14ac:dyDescent="0.25">
      <c r="A501" s="21"/>
      <c r="B501" s="21"/>
      <c r="C501" s="27"/>
      <c r="D501" s="21"/>
      <c r="E501" s="28"/>
      <c r="F501" s="28"/>
      <c r="G501" s="21"/>
      <c r="H501" s="29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</row>
    <row r="502" spans="1:48" x14ac:dyDescent="0.25">
      <c r="A502" s="21"/>
      <c r="B502" s="21"/>
      <c r="C502" s="27"/>
      <c r="D502" s="21"/>
      <c r="E502" s="28"/>
      <c r="F502" s="28"/>
      <c r="G502" s="21"/>
      <c r="H502" s="29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</row>
    <row r="503" spans="1:48" x14ac:dyDescent="0.25">
      <c r="A503" s="21"/>
      <c r="B503" s="21"/>
      <c r="C503" s="27"/>
      <c r="D503" s="21"/>
      <c r="E503" s="28"/>
      <c r="F503" s="28"/>
      <c r="G503" s="21"/>
      <c r="H503" s="29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</row>
    <row r="504" spans="1:48" x14ac:dyDescent="0.25">
      <c r="A504" s="21"/>
      <c r="B504" s="21"/>
      <c r="C504" s="27"/>
      <c r="D504" s="21"/>
      <c r="E504" s="28"/>
      <c r="F504" s="28"/>
      <c r="G504" s="21"/>
      <c r="H504" s="29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</row>
    <row r="505" spans="1:48" x14ac:dyDescent="0.25">
      <c r="A505" s="21"/>
      <c r="B505" s="21"/>
      <c r="C505" s="27"/>
      <c r="D505" s="21"/>
      <c r="E505" s="28"/>
      <c r="F505" s="28"/>
      <c r="G505" s="21"/>
      <c r="H505" s="29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</row>
    <row r="506" spans="1:48" x14ac:dyDescent="0.25">
      <c r="A506" s="21"/>
      <c r="B506" s="21"/>
      <c r="C506" s="27"/>
      <c r="D506" s="21"/>
      <c r="E506" s="28"/>
      <c r="F506" s="28"/>
      <c r="G506" s="21"/>
      <c r="H506" s="29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</row>
    <row r="507" spans="1:48" x14ac:dyDescent="0.25">
      <c r="A507" s="21"/>
      <c r="B507" s="21"/>
      <c r="C507" s="27"/>
      <c r="D507" s="21"/>
      <c r="E507" s="28"/>
      <c r="F507" s="28"/>
      <c r="G507" s="21"/>
      <c r="H507" s="29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</row>
    <row r="508" spans="1:48" x14ac:dyDescent="0.25">
      <c r="A508" s="21"/>
      <c r="B508" s="21"/>
      <c r="C508" s="27"/>
      <c r="D508" s="21"/>
      <c r="E508" s="28"/>
      <c r="F508" s="28"/>
      <c r="G508" s="21"/>
      <c r="H508" s="29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</row>
    <row r="509" spans="1:48" x14ac:dyDescent="0.25">
      <c r="A509" s="21"/>
      <c r="B509" s="21"/>
      <c r="C509" s="27"/>
      <c r="D509" s="21"/>
      <c r="E509" s="28"/>
      <c r="F509" s="28"/>
      <c r="G509" s="21"/>
      <c r="H509" s="29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</row>
    <row r="510" spans="1:48" x14ac:dyDescent="0.25">
      <c r="A510" s="21"/>
      <c r="B510" s="21"/>
      <c r="C510" s="27"/>
      <c r="D510" s="21"/>
      <c r="E510" s="28"/>
      <c r="F510" s="28"/>
      <c r="G510" s="21"/>
      <c r="H510" s="29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</row>
    <row r="511" spans="1:48" x14ac:dyDescent="0.25">
      <c r="A511" s="21"/>
      <c r="B511" s="21"/>
      <c r="C511" s="27"/>
      <c r="D511" s="21"/>
      <c r="E511" s="28"/>
      <c r="F511" s="28"/>
      <c r="G511" s="21"/>
      <c r="H511" s="29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</row>
    <row r="512" spans="1:48" x14ac:dyDescent="0.25">
      <c r="A512" s="21"/>
      <c r="B512" s="21"/>
      <c r="C512" s="27"/>
      <c r="D512" s="21"/>
      <c r="E512" s="28"/>
      <c r="F512" s="28"/>
      <c r="G512" s="21"/>
      <c r="H512" s="29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</row>
    <row r="513" spans="1:48" x14ac:dyDescent="0.25">
      <c r="A513" s="21"/>
      <c r="B513" s="21"/>
      <c r="C513" s="27"/>
      <c r="D513" s="21"/>
      <c r="E513" s="28"/>
      <c r="F513" s="28"/>
      <c r="G513" s="21"/>
      <c r="H513" s="29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</row>
    <row r="514" spans="1:48" x14ac:dyDescent="0.25">
      <c r="A514" s="21"/>
      <c r="B514" s="21"/>
      <c r="C514" s="27"/>
      <c r="D514" s="21"/>
      <c r="E514" s="28"/>
      <c r="F514" s="28"/>
      <c r="G514" s="21"/>
      <c r="H514" s="29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</row>
    <row r="515" spans="1:48" x14ac:dyDescent="0.25">
      <c r="A515" s="21"/>
      <c r="B515" s="21"/>
      <c r="C515" s="27"/>
      <c r="D515" s="21"/>
      <c r="E515" s="28"/>
      <c r="F515" s="28"/>
      <c r="G515" s="21"/>
      <c r="H515" s="29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</row>
    <row r="516" spans="1:48" x14ac:dyDescent="0.25">
      <c r="A516" s="21"/>
      <c r="B516" s="21"/>
      <c r="C516" s="27"/>
      <c r="D516" s="21"/>
      <c r="E516" s="28"/>
      <c r="F516" s="28"/>
      <c r="G516" s="21"/>
      <c r="H516" s="29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</row>
    <row r="517" spans="1:48" x14ac:dyDescent="0.25">
      <c r="A517" s="21"/>
      <c r="B517" s="21"/>
      <c r="C517" s="27"/>
      <c r="D517" s="21"/>
      <c r="E517" s="28"/>
      <c r="F517" s="28"/>
      <c r="G517" s="21"/>
      <c r="H517" s="29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</row>
    <row r="518" spans="1:48" x14ac:dyDescent="0.25">
      <c r="A518" s="21"/>
      <c r="B518" s="21"/>
      <c r="C518" s="27"/>
      <c r="D518" s="21"/>
      <c r="E518" s="28"/>
      <c r="F518" s="28"/>
      <c r="G518" s="21"/>
      <c r="H518" s="29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</row>
    <row r="519" spans="1:48" x14ac:dyDescent="0.25">
      <c r="A519" s="21"/>
      <c r="B519" s="21"/>
      <c r="C519" s="27"/>
      <c r="D519" s="21"/>
      <c r="E519" s="28"/>
      <c r="F519" s="28"/>
      <c r="G519" s="21"/>
      <c r="H519" s="29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</row>
    <row r="520" spans="1:48" x14ac:dyDescent="0.25">
      <c r="A520" s="21"/>
      <c r="B520" s="21"/>
      <c r="C520" s="27"/>
      <c r="D520" s="21"/>
      <c r="E520" s="28"/>
      <c r="F520" s="28"/>
      <c r="G520" s="21"/>
      <c r="H520" s="29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</row>
    <row r="521" spans="1:48" x14ac:dyDescent="0.25">
      <c r="A521" s="21"/>
      <c r="B521" s="21"/>
      <c r="C521" s="27"/>
      <c r="D521" s="21"/>
      <c r="E521" s="28"/>
      <c r="F521" s="28"/>
      <c r="G521" s="21"/>
      <c r="H521" s="29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</row>
    <row r="522" spans="1:48" x14ac:dyDescent="0.25">
      <c r="A522" s="21"/>
      <c r="B522" s="21"/>
      <c r="C522" s="27"/>
      <c r="D522" s="21"/>
      <c r="E522" s="28"/>
      <c r="F522" s="28"/>
      <c r="G522" s="21"/>
      <c r="H522" s="29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</row>
    <row r="523" spans="1:48" x14ac:dyDescent="0.25">
      <c r="A523" s="21"/>
      <c r="B523" s="21"/>
      <c r="C523" s="27"/>
      <c r="D523" s="21"/>
      <c r="E523" s="28"/>
      <c r="F523" s="28"/>
      <c r="G523" s="21"/>
      <c r="H523" s="29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</row>
    <row r="524" spans="1:48" x14ac:dyDescent="0.25">
      <c r="A524" s="21"/>
      <c r="B524" s="21"/>
      <c r="C524" s="27"/>
      <c r="D524" s="21"/>
      <c r="E524" s="28"/>
      <c r="F524" s="28"/>
      <c r="G524" s="21"/>
      <c r="H524" s="29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</row>
    <row r="525" spans="1:48" x14ac:dyDescent="0.25">
      <c r="A525" s="21"/>
      <c r="B525" s="21"/>
      <c r="C525" s="27"/>
      <c r="D525" s="21"/>
      <c r="E525" s="28"/>
      <c r="F525" s="28"/>
      <c r="G525" s="21"/>
      <c r="H525" s="29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</row>
    <row r="526" spans="1:48" x14ac:dyDescent="0.25">
      <c r="A526" s="21"/>
      <c r="B526" s="21"/>
      <c r="C526" s="27"/>
      <c r="D526" s="21"/>
      <c r="E526" s="28"/>
      <c r="F526" s="28"/>
      <c r="G526" s="21"/>
      <c r="H526" s="29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</row>
    <row r="527" spans="1:48" x14ac:dyDescent="0.25">
      <c r="A527" s="21"/>
      <c r="B527" s="21"/>
      <c r="C527" s="27"/>
      <c r="D527" s="21"/>
      <c r="E527" s="28"/>
      <c r="F527" s="28"/>
      <c r="G527" s="21"/>
      <c r="H527" s="29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</row>
    <row r="528" spans="1:48" x14ac:dyDescent="0.25">
      <c r="A528" s="21"/>
      <c r="B528" s="21"/>
      <c r="C528" s="27"/>
      <c r="D528" s="21"/>
      <c r="E528" s="28"/>
      <c r="F528" s="28"/>
      <c r="G528" s="21"/>
      <c r="H528" s="29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</row>
    <row r="529" spans="1:48" x14ac:dyDescent="0.25">
      <c r="A529" s="21"/>
      <c r="B529" s="21"/>
      <c r="C529" s="27"/>
      <c r="D529" s="21"/>
      <c r="E529" s="28"/>
      <c r="F529" s="28"/>
      <c r="G529" s="21"/>
      <c r="H529" s="29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</row>
    <row r="530" spans="1:48" x14ac:dyDescent="0.25">
      <c r="A530" s="21"/>
      <c r="B530" s="21"/>
      <c r="C530" s="27"/>
      <c r="D530" s="21"/>
      <c r="E530" s="28"/>
      <c r="F530" s="28"/>
      <c r="G530" s="21"/>
      <c r="H530" s="29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</row>
    <row r="531" spans="1:48" x14ac:dyDescent="0.25">
      <c r="A531" s="21"/>
      <c r="B531" s="21"/>
      <c r="C531" s="27"/>
      <c r="D531" s="21"/>
      <c r="E531" s="28"/>
      <c r="F531" s="28"/>
      <c r="G531" s="21"/>
      <c r="H531" s="29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</row>
    <row r="532" spans="1:48" x14ac:dyDescent="0.25">
      <c r="A532" s="21"/>
      <c r="B532" s="21"/>
      <c r="C532" s="27"/>
      <c r="D532" s="21"/>
      <c r="E532" s="28"/>
      <c r="F532" s="28"/>
      <c r="G532" s="21"/>
      <c r="H532" s="29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</row>
    <row r="533" spans="1:48" x14ac:dyDescent="0.25">
      <c r="A533" s="21"/>
      <c r="B533" s="21"/>
      <c r="C533" s="27"/>
      <c r="D533" s="21"/>
      <c r="E533" s="28"/>
      <c r="F533" s="28"/>
      <c r="G533" s="21"/>
      <c r="H533" s="29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</row>
    <row r="534" spans="1:48" x14ac:dyDescent="0.25">
      <c r="A534" s="21"/>
      <c r="B534" s="21"/>
      <c r="C534" s="27"/>
      <c r="D534" s="21"/>
      <c r="E534" s="28"/>
      <c r="F534" s="28"/>
      <c r="G534" s="21"/>
      <c r="H534" s="29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</row>
    <row r="535" spans="1:48" x14ac:dyDescent="0.25">
      <c r="A535" s="21"/>
      <c r="B535" s="21"/>
      <c r="C535" s="27"/>
      <c r="D535" s="21"/>
      <c r="E535" s="28"/>
      <c r="F535" s="28"/>
      <c r="G535" s="21"/>
      <c r="H535" s="29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</row>
    <row r="536" spans="1:48" x14ac:dyDescent="0.25">
      <c r="A536" s="21"/>
      <c r="B536" s="21"/>
      <c r="C536" s="27"/>
      <c r="D536" s="21"/>
      <c r="E536" s="28"/>
      <c r="F536" s="28"/>
      <c r="G536" s="21"/>
      <c r="H536" s="29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</row>
    <row r="537" spans="1:48" x14ac:dyDescent="0.25">
      <c r="A537" s="21"/>
      <c r="B537" s="21"/>
      <c r="C537" s="27"/>
      <c r="D537" s="21"/>
      <c r="E537" s="28"/>
      <c r="F537" s="28"/>
      <c r="G537" s="21"/>
      <c r="H537" s="29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</row>
    <row r="538" spans="1:48" x14ac:dyDescent="0.25">
      <c r="A538" s="21"/>
      <c r="B538" s="21"/>
      <c r="C538" s="27"/>
      <c r="D538" s="21"/>
      <c r="E538" s="28"/>
      <c r="F538" s="28"/>
      <c r="G538" s="21"/>
      <c r="H538" s="29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</row>
    <row r="539" spans="1:48" x14ac:dyDescent="0.25">
      <c r="A539" s="21"/>
      <c r="B539" s="21"/>
      <c r="C539" s="27"/>
      <c r="D539" s="21"/>
      <c r="E539" s="28"/>
      <c r="F539" s="28"/>
      <c r="G539" s="21"/>
      <c r="H539" s="29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</row>
    <row r="540" spans="1:48" x14ac:dyDescent="0.25">
      <c r="A540" s="21"/>
      <c r="B540" s="21"/>
      <c r="C540" s="27"/>
      <c r="D540" s="21"/>
      <c r="E540" s="28"/>
      <c r="F540" s="28"/>
      <c r="G540" s="21"/>
      <c r="H540" s="29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</row>
    <row r="541" spans="1:48" x14ac:dyDescent="0.25">
      <c r="A541" s="21"/>
      <c r="B541" s="21"/>
      <c r="C541" s="27"/>
      <c r="D541" s="21"/>
      <c r="E541" s="28"/>
      <c r="F541" s="28"/>
      <c r="G541" s="21"/>
      <c r="H541" s="29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</row>
    <row r="542" spans="1:48" x14ac:dyDescent="0.25">
      <c r="A542" s="21"/>
      <c r="B542" s="21"/>
      <c r="C542" s="27"/>
      <c r="D542" s="21"/>
      <c r="E542" s="28"/>
      <c r="F542" s="28"/>
      <c r="G542" s="21"/>
      <c r="H542" s="29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</row>
    <row r="543" spans="1:48" x14ac:dyDescent="0.25">
      <c r="A543" s="21"/>
      <c r="B543" s="21"/>
      <c r="C543" s="27"/>
      <c r="D543" s="21"/>
      <c r="E543" s="28"/>
      <c r="F543" s="28"/>
      <c r="G543" s="21"/>
      <c r="H543" s="29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</row>
    <row r="544" spans="1:48" x14ac:dyDescent="0.25">
      <c r="A544" s="21"/>
      <c r="B544" s="21"/>
      <c r="C544" s="27"/>
      <c r="D544" s="21"/>
      <c r="E544" s="28"/>
      <c r="F544" s="28"/>
      <c r="G544" s="21"/>
      <c r="H544" s="29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</row>
    <row r="545" spans="1:48" x14ac:dyDescent="0.25">
      <c r="A545" s="21"/>
      <c r="B545" s="21"/>
      <c r="C545" s="27"/>
      <c r="D545" s="21"/>
      <c r="E545" s="28"/>
      <c r="F545" s="28"/>
      <c r="G545" s="21"/>
      <c r="H545" s="29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</row>
    <row r="546" spans="1:48" x14ac:dyDescent="0.25">
      <c r="A546" s="21"/>
      <c r="B546" s="21"/>
      <c r="C546" s="27"/>
      <c r="D546" s="21"/>
      <c r="E546" s="28"/>
      <c r="F546" s="28"/>
      <c r="G546" s="21"/>
      <c r="H546" s="29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</row>
    <row r="547" spans="1:48" x14ac:dyDescent="0.25">
      <c r="A547" s="21"/>
      <c r="B547" s="21"/>
      <c r="C547" s="27"/>
      <c r="D547" s="21"/>
      <c r="E547" s="28"/>
      <c r="F547" s="28"/>
      <c r="G547" s="21"/>
      <c r="H547" s="29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</row>
    <row r="548" spans="1:48" x14ac:dyDescent="0.25">
      <c r="A548" s="21"/>
      <c r="B548" s="21"/>
      <c r="C548" s="27"/>
      <c r="D548" s="21"/>
      <c r="E548" s="28"/>
      <c r="F548" s="28"/>
      <c r="G548" s="21"/>
      <c r="H548" s="29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</row>
    <row r="549" spans="1:48" x14ac:dyDescent="0.25">
      <c r="A549" s="21"/>
      <c r="B549" s="21"/>
      <c r="C549" s="27"/>
      <c r="D549" s="21"/>
      <c r="E549" s="28"/>
      <c r="F549" s="28"/>
      <c r="G549" s="21"/>
      <c r="H549" s="29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</row>
    <row r="550" spans="1:48" x14ac:dyDescent="0.25">
      <c r="A550" s="21"/>
      <c r="B550" s="21"/>
      <c r="C550" s="27"/>
      <c r="D550" s="21"/>
      <c r="E550" s="28"/>
      <c r="F550" s="28"/>
      <c r="G550" s="21"/>
      <c r="H550" s="29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</row>
    <row r="551" spans="1:48" x14ac:dyDescent="0.25">
      <c r="A551" s="21"/>
      <c r="B551" s="21"/>
      <c r="C551" s="27"/>
      <c r="D551" s="21"/>
      <c r="E551" s="28"/>
      <c r="F551" s="28"/>
      <c r="G551" s="21"/>
      <c r="H551" s="29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</row>
    <row r="552" spans="1:48" x14ac:dyDescent="0.25">
      <c r="A552" s="21"/>
      <c r="B552" s="21"/>
      <c r="C552" s="27"/>
      <c r="D552" s="21"/>
      <c r="E552" s="28"/>
      <c r="F552" s="28"/>
      <c r="G552" s="21"/>
      <c r="H552" s="29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</row>
    <row r="553" spans="1:48" x14ac:dyDescent="0.25">
      <c r="A553" s="21"/>
      <c r="B553" s="21"/>
      <c r="C553" s="27"/>
      <c r="D553" s="21"/>
      <c r="E553" s="28"/>
      <c r="F553" s="28"/>
      <c r="G553" s="21"/>
      <c r="H553" s="29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</row>
    <row r="554" spans="1:48" x14ac:dyDescent="0.25">
      <c r="A554" s="21"/>
      <c r="B554" s="21"/>
      <c r="C554" s="27"/>
      <c r="D554" s="21"/>
      <c r="E554" s="28"/>
      <c r="F554" s="28"/>
      <c r="G554" s="21"/>
      <c r="H554" s="29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</row>
    <row r="555" spans="1:48" x14ac:dyDescent="0.25">
      <c r="A555" s="21"/>
      <c r="B555" s="21"/>
      <c r="C555" s="27"/>
      <c r="D555" s="21"/>
      <c r="E555" s="28"/>
      <c r="F555" s="28"/>
      <c r="G555" s="21"/>
      <c r="H555" s="29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</row>
    <row r="556" spans="1:48" x14ac:dyDescent="0.25">
      <c r="A556" s="21"/>
      <c r="B556" s="21"/>
      <c r="C556" s="27"/>
      <c r="D556" s="21"/>
      <c r="E556" s="28"/>
      <c r="F556" s="28"/>
      <c r="G556" s="21"/>
      <c r="H556" s="29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</row>
  </sheetData>
  <conditionalFormatting sqref="G8">
    <cfRule type="cellIs" dxfId="24" priority="13" operator="lessThan">
      <formula>0</formula>
    </cfRule>
  </conditionalFormatting>
  <conditionalFormatting sqref="C9:L9">
    <cfRule type="expression" dxfId="23" priority="11">
      <formula>$L9="Não"</formula>
    </cfRule>
    <cfRule type="expression" dxfId="22" priority="12">
      <formula>$L9="Sim"</formula>
    </cfRule>
  </conditionalFormatting>
  <conditionalFormatting sqref="G1:G8 G10:G1048576">
    <cfRule type="dataBar" priority="21">
      <dataBar>
        <cfvo type="num" val="0"/>
        <cfvo type="num" val="#REF!"/>
        <color rgb="FFFF555A"/>
      </dataBar>
      <extLst>
        <ext xmlns:x14="http://schemas.microsoft.com/office/spreadsheetml/2009/9/main" uri="{B025F937-C7B1-47D3-B67F-A62EFF666E3E}">
          <x14:id>{12787F7B-2C26-4C11-8627-E7D5BF374891}</x14:id>
        </ext>
      </extLst>
    </cfRule>
  </conditionalFormatting>
  <conditionalFormatting sqref="F9">
    <cfRule type="dataBar" priority="1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{C6C9FDDF-3169-4F50-BEEC-6EE10C03AE60}</x14:id>
        </ext>
      </extLst>
    </cfRule>
  </conditionalFormatting>
  <dataValidations count="1">
    <dataValidation type="list" allowBlank="1" showInputMessage="1" showErrorMessage="1" sqref="L9" xr:uid="{33A835B2-F232-413F-B3FB-3AF6FC89981B}">
      <formula1>"Sim,Não, 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87F7B-2C26-4C11-8627-E7D5BF374891}">
            <x14:dataBar minLength="0" maxLength="100" border="1" negativeBarBorderColorSameAsPositive="0">
              <x14:cfvo type="num">
                <xm:f>0</xm:f>
              </x14:cfvo>
              <x14:cfvo type="num">
                <xm:f>#REF!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G1:G8 G10:G1048576</xm:sqref>
        </x14:conditionalFormatting>
        <x14:conditionalFormatting xmlns:xm="http://schemas.microsoft.com/office/excel/2006/main">
          <x14:cfRule type="dataBar" id="{C6C9FDDF-3169-4F50-BEEC-6EE10C03AE6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AAFF6-F805-4C08-A7C7-6D1ACC93D03C}">
  <sheetPr codeName="Planilha2"/>
  <dimension ref="A1:AE85"/>
  <sheetViews>
    <sheetView showGridLines="0" showRowColHeaders="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26.5703125" style="3" customWidth="1"/>
    <col min="3" max="3" width="16.28515625" bestFit="1" customWidth="1"/>
    <col min="4" max="5" width="15.140625" customWidth="1"/>
    <col min="6" max="6" width="15.140625" style="16" customWidth="1"/>
    <col min="7" max="7" width="15.140625" customWidth="1"/>
    <col min="8" max="8" width="15.140625" style="19" customWidth="1"/>
    <col min="9" max="9" width="15.140625" customWidth="1"/>
    <col min="10" max="10" width="15.140625" style="12" customWidth="1"/>
    <col min="11" max="13" width="15.140625" customWidth="1"/>
    <col min="14" max="14" width="9.85546875" bestFit="1" customWidth="1"/>
    <col min="15" max="16" width="11.7109375" bestFit="1" customWidth="1"/>
    <col min="17" max="17" width="11.7109375" customWidth="1"/>
    <col min="18" max="18" width="9.85546875" bestFit="1" customWidth="1"/>
    <col min="30" max="30" width="12.28515625" customWidth="1"/>
  </cols>
  <sheetData>
    <row r="1" spans="1:31" x14ac:dyDescent="0.25">
      <c r="A1" s="7"/>
      <c r="B1" s="7"/>
      <c r="C1" s="7"/>
      <c r="D1" s="7"/>
      <c r="E1" s="7"/>
      <c r="F1" s="14"/>
      <c r="G1" s="7"/>
      <c r="H1" s="17"/>
      <c r="I1" s="7"/>
      <c r="J1" s="10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</row>
    <row r="2" spans="1:31" x14ac:dyDescent="0.25">
      <c r="B2" s="7"/>
      <c r="C2" s="7"/>
      <c r="D2" s="7"/>
      <c r="E2" s="7"/>
      <c r="F2" s="14"/>
      <c r="G2" s="7"/>
      <c r="H2" s="17"/>
      <c r="I2" s="7"/>
      <c r="J2" s="10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</row>
    <row r="3" spans="1:31" ht="24.75" thickBot="1" x14ac:dyDescent="0.3">
      <c r="B3" s="7"/>
      <c r="C3" s="15" t="s">
        <v>16</v>
      </c>
      <c r="D3" s="13"/>
      <c r="E3" s="18"/>
      <c r="F3" s="13"/>
      <c r="G3" s="11"/>
      <c r="H3" s="9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AB3" s="9"/>
      <c r="AC3" s="9"/>
      <c r="AD3" s="7"/>
    </row>
    <row r="4" spans="1:31" ht="15.75" thickTop="1" x14ac:dyDescent="0.25">
      <c r="B4" s="7"/>
      <c r="C4" s="7"/>
      <c r="D4" s="7"/>
      <c r="E4" s="7"/>
      <c r="F4" s="14"/>
      <c r="G4" s="7"/>
      <c r="H4" s="17"/>
      <c r="I4" s="7"/>
      <c r="J4" s="10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</row>
    <row r="5" spans="1:31" x14ac:dyDescent="0.25">
      <c r="B5" s="7"/>
      <c r="C5" s="7"/>
      <c r="D5" s="7"/>
      <c r="E5" s="7"/>
      <c r="F5" s="14"/>
      <c r="G5" s="7"/>
      <c r="H5" s="17"/>
      <c r="I5" s="7"/>
      <c r="J5" s="10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</row>
    <row r="6" spans="1:31" x14ac:dyDescent="0.25">
      <c r="B6" s="22"/>
      <c r="C6" s="22"/>
      <c r="D6" s="22"/>
      <c r="E6" s="22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2"/>
      <c r="AB6" s="22"/>
      <c r="AC6" s="22"/>
      <c r="AD6" s="22"/>
    </row>
    <row r="7" spans="1:31" ht="15.75" thickBot="1" x14ac:dyDescent="0.3">
      <c r="B7" s="22"/>
      <c r="C7" s="22"/>
      <c r="D7" s="22"/>
      <c r="E7" s="22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2"/>
      <c r="AB7" s="22"/>
      <c r="AC7" s="22"/>
      <c r="AD7" s="22"/>
    </row>
    <row r="8" spans="1:31" ht="25.5" customHeight="1" thickBot="1" x14ac:dyDescent="0.3">
      <c r="B8" s="22"/>
      <c r="C8" s="35"/>
      <c r="D8" s="36" t="s">
        <v>31</v>
      </c>
      <c r="E8" s="37" t="s">
        <v>32</v>
      </c>
      <c r="F8" s="37" t="s">
        <v>33</v>
      </c>
      <c r="G8" s="37" t="s">
        <v>34</v>
      </c>
      <c r="H8" s="37" t="s">
        <v>35</v>
      </c>
      <c r="I8" s="37" t="s">
        <v>36</v>
      </c>
      <c r="J8" s="37" t="s">
        <v>37</v>
      </c>
      <c r="K8" s="37" t="s">
        <v>38</v>
      </c>
      <c r="L8" s="37" t="s">
        <v>39</v>
      </c>
      <c r="M8" s="38" t="s">
        <v>40</v>
      </c>
      <c r="N8" s="79" t="s">
        <v>70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2"/>
      <c r="AB8" s="22"/>
      <c r="AC8" s="22"/>
      <c r="AD8" s="22"/>
      <c r="AE8" s="8"/>
    </row>
    <row r="9" spans="1:31" ht="30" customHeight="1" thickTop="1" x14ac:dyDescent="0.25">
      <c r="B9" s="22"/>
      <c r="C9" s="34" t="s">
        <v>19</v>
      </c>
      <c r="D9" s="59"/>
      <c r="E9" s="62"/>
      <c r="F9" s="46"/>
      <c r="G9" s="46"/>
      <c r="H9" s="46"/>
      <c r="I9" s="46"/>
      <c r="J9" s="46"/>
      <c r="K9" s="46"/>
      <c r="L9" s="46"/>
      <c r="M9" s="47"/>
      <c r="N9" s="48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2"/>
      <c r="AB9" s="22"/>
      <c r="AC9" s="22"/>
      <c r="AD9" s="22"/>
      <c r="AE9" s="8"/>
    </row>
    <row r="10" spans="1:31" ht="30" customHeight="1" x14ac:dyDescent="0.25">
      <c r="B10" s="22"/>
      <c r="C10" s="34" t="s">
        <v>20</v>
      </c>
      <c r="D10" s="60"/>
      <c r="E10" s="61"/>
      <c r="F10" s="49"/>
      <c r="G10" s="50"/>
      <c r="H10" s="50"/>
      <c r="I10" s="50"/>
      <c r="J10" s="50"/>
      <c r="K10" s="50"/>
      <c r="L10" s="50"/>
      <c r="M10" s="51"/>
      <c r="N10" s="48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2"/>
      <c r="AB10" s="22"/>
      <c r="AC10" s="22"/>
      <c r="AD10" s="22"/>
    </row>
    <row r="11" spans="1:31" ht="30" customHeight="1" x14ac:dyDescent="0.25">
      <c r="B11" s="22"/>
      <c r="C11" s="34" t="s">
        <v>21</v>
      </c>
      <c r="D11" s="52"/>
      <c r="E11" s="50"/>
      <c r="F11" s="50"/>
      <c r="G11" s="50"/>
      <c r="H11" s="50"/>
      <c r="I11" s="50"/>
      <c r="J11" s="50"/>
      <c r="K11" s="50"/>
      <c r="L11" s="50"/>
      <c r="M11" s="51"/>
      <c r="N11" s="53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2"/>
      <c r="AB11" s="22"/>
      <c r="AC11" s="22"/>
      <c r="AD11" s="22"/>
    </row>
    <row r="12" spans="1:31" ht="30" customHeight="1" x14ac:dyDescent="0.25">
      <c r="B12" s="22"/>
      <c r="C12" s="34" t="s">
        <v>22</v>
      </c>
      <c r="D12" s="52"/>
      <c r="E12" s="50"/>
      <c r="F12" s="50"/>
      <c r="G12" s="50"/>
      <c r="H12" s="50"/>
      <c r="I12" s="50"/>
      <c r="J12" s="50"/>
      <c r="K12" s="50"/>
      <c r="L12" s="50"/>
      <c r="M12" s="51"/>
      <c r="N12" s="53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2"/>
      <c r="AB12" s="22"/>
      <c r="AC12" s="22"/>
      <c r="AD12" s="22"/>
    </row>
    <row r="13" spans="1:31" ht="30" customHeight="1" x14ac:dyDescent="0.25">
      <c r="A13" s="21"/>
      <c r="B13" s="22"/>
      <c r="C13" s="34" t="s">
        <v>23</v>
      </c>
      <c r="D13" s="54"/>
      <c r="E13" s="50"/>
      <c r="F13" s="50"/>
      <c r="G13" s="50"/>
      <c r="H13" s="50"/>
      <c r="I13" s="50"/>
      <c r="J13" s="50"/>
      <c r="K13" s="50"/>
      <c r="L13" s="50"/>
      <c r="M13" s="51"/>
      <c r="N13" s="53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2"/>
      <c r="AB13" s="22"/>
      <c r="AC13" s="22"/>
      <c r="AD13" s="22"/>
    </row>
    <row r="14" spans="1:31" ht="30" customHeight="1" x14ac:dyDescent="0.25">
      <c r="A14" s="21"/>
      <c r="B14" s="22"/>
      <c r="C14" s="34" t="s">
        <v>24</v>
      </c>
      <c r="D14" s="52"/>
      <c r="E14" s="50"/>
      <c r="F14" s="50"/>
      <c r="G14" s="50"/>
      <c r="H14" s="50"/>
      <c r="I14" s="50"/>
      <c r="J14" s="50"/>
      <c r="K14" s="50"/>
      <c r="L14" s="50"/>
      <c r="M14" s="51"/>
      <c r="N14" s="53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2"/>
      <c r="AB14" s="22"/>
      <c r="AC14" s="22"/>
      <c r="AD14" s="22"/>
    </row>
    <row r="15" spans="1:31" ht="30" customHeight="1" x14ac:dyDescent="0.25">
      <c r="B15" s="22"/>
      <c r="C15" s="34" t="s">
        <v>25</v>
      </c>
      <c r="D15" s="52"/>
      <c r="E15" s="50"/>
      <c r="F15" s="50"/>
      <c r="G15" s="50"/>
      <c r="H15" s="50"/>
      <c r="I15" s="50"/>
      <c r="J15" s="50"/>
      <c r="K15" s="50"/>
      <c r="L15" s="50"/>
      <c r="M15" s="51"/>
      <c r="N15" s="53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2"/>
      <c r="AB15" s="22"/>
      <c r="AC15" s="22"/>
      <c r="AD15" s="22"/>
    </row>
    <row r="16" spans="1:31" ht="30" customHeight="1" x14ac:dyDescent="0.25">
      <c r="B16" s="22"/>
      <c r="C16" s="34" t="s">
        <v>26</v>
      </c>
      <c r="D16" s="54"/>
      <c r="E16" s="50"/>
      <c r="F16" s="50"/>
      <c r="G16" s="50"/>
      <c r="H16" s="50"/>
      <c r="I16" s="50"/>
      <c r="J16" s="50"/>
      <c r="K16" s="50"/>
      <c r="L16" s="50"/>
      <c r="M16" s="51"/>
      <c r="N16" s="53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2"/>
      <c r="AB16" s="22"/>
      <c r="AC16" s="22"/>
      <c r="AD16" s="22"/>
    </row>
    <row r="17" spans="1:30" ht="30" customHeight="1" x14ac:dyDescent="0.25">
      <c r="A17" s="45"/>
      <c r="B17" s="22"/>
      <c r="C17" s="34" t="s">
        <v>27</v>
      </c>
      <c r="D17" s="54"/>
      <c r="E17" s="50"/>
      <c r="F17" s="50"/>
      <c r="G17" s="50"/>
      <c r="H17" s="50"/>
      <c r="I17" s="50"/>
      <c r="J17" s="50"/>
      <c r="K17" s="50"/>
      <c r="L17" s="50"/>
      <c r="M17" s="51"/>
      <c r="N17" s="53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2"/>
      <c r="AB17" s="22"/>
      <c r="AC17" s="22"/>
      <c r="AD17" s="22"/>
    </row>
    <row r="18" spans="1:30" ht="30" customHeight="1" x14ac:dyDescent="0.25">
      <c r="B18" s="22"/>
      <c r="C18" s="34" t="s">
        <v>28</v>
      </c>
      <c r="D18" s="52"/>
      <c r="E18" s="50"/>
      <c r="F18" s="50"/>
      <c r="G18" s="50"/>
      <c r="H18" s="50"/>
      <c r="I18" s="50"/>
      <c r="J18" s="50"/>
      <c r="K18" s="50"/>
      <c r="L18" s="50"/>
      <c r="M18" s="51"/>
      <c r="N18" s="53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2"/>
      <c r="AB18" s="22"/>
      <c r="AC18" s="22"/>
      <c r="AD18" s="22"/>
    </row>
    <row r="19" spans="1:30" ht="30" customHeight="1" x14ac:dyDescent="0.25">
      <c r="B19" s="22"/>
      <c r="C19" s="34" t="s">
        <v>29</v>
      </c>
      <c r="D19" s="54"/>
      <c r="E19" s="50"/>
      <c r="F19" s="50"/>
      <c r="G19" s="50"/>
      <c r="H19" s="50"/>
      <c r="I19" s="50"/>
      <c r="J19" s="50"/>
      <c r="K19" s="50"/>
      <c r="L19" s="50"/>
      <c r="M19" s="51"/>
      <c r="N19" s="53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2"/>
      <c r="AB19" s="22"/>
      <c r="AC19" s="22"/>
      <c r="AD19" s="22"/>
    </row>
    <row r="20" spans="1:30" ht="30" customHeight="1" thickBot="1" x14ac:dyDescent="0.3">
      <c r="B20" s="22"/>
      <c r="C20" s="39" t="s">
        <v>30</v>
      </c>
      <c r="D20" s="55"/>
      <c r="E20" s="56"/>
      <c r="F20" s="56"/>
      <c r="G20" s="56"/>
      <c r="H20" s="56"/>
      <c r="I20" s="56"/>
      <c r="J20" s="56"/>
      <c r="K20" s="56"/>
      <c r="L20" s="56"/>
      <c r="M20" s="57"/>
      <c r="N20" s="58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2"/>
      <c r="AB20" s="22"/>
      <c r="AC20" s="22"/>
      <c r="AD20" s="22"/>
    </row>
    <row r="21" spans="1:30" x14ac:dyDescent="0.25">
      <c r="B21" s="22"/>
      <c r="C21" s="22"/>
      <c r="D21" s="22"/>
      <c r="E21" s="22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2"/>
      <c r="AB21" s="22"/>
      <c r="AC21" s="22"/>
      <c r="AD21" s="22"/>
    </row>
    <row r="22" spans="1:30" x14ac:dyDescent="0.25">
      <c r="B22" s="22"/>
      <c r="C22" s="22"/>
      <c r="D22" s="22"/>
      <c r="E22" s="22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2"/>
      <c r="AB22" s="22"/>
      <c r="AC22" s="22"/>
      <c r="AD22" s="22"/>
    </row>
    <row r="23" spans="1:30" x14ac:dyDescent="0.25">
      <c r="B23" s="22"/>
      <c r="C23" s="22"/>
      <c r="D23" s="22"/>
      <c r="E23" s="22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2"/>
      <c r="AB23" s="22"/>
      <c r="AC23" s="22"/>
      <c r="AD23" s="22"/>
    </row>
    <row r="24" spans="1:30" x14ac:dyDescent="0.25">
      <c r="B24" s="22"/>
      <c r="C24" s="22"/>
      <c r="D24" s="22"/>
      <c r="E24" s="22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2"/>
      <c r="AB24" s="22"/>
      <c r="AC24" s="22"/>
      <c r="AD24" s="22"/>
    </row>
    <row r="25" spans="1:30" x14ac:dyDescent="0.25">
      <c r="B25" s="22"/>
      <c r="C25" s="22"/>
      <c r="D25" s="22"/>
      <c r="E25" s="22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2"/>
      <c r="AB25" s="22"/>
      <c r="AC25" s="22"/>
      <c r="AD25" s="22"/>
    </row>
    <row r="26" spans="1:30" x14ac:dyDescent="0.25">
      <c r="B26" s="22"/>
      <c r="C26" s="22"/>
      <c r="D26" s="22"/>
      <c r="E26" s="22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2"/>
      <c r="AB26" s="22"/>
      <c r="AC26" s="22"/>
      <c r="AD26" s="22"/>
    </row>
    <row r="27" spans="1:30" x14ac:dyDescent="0.25">
      <c r="B27" s="22"/>
      <c r="C27" s="22"/>
      <c r="D27" s="22"/>
      <c r="E27" s="22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2"/>
      <c r="AB27" s="22"/>
      <c r="AC27" s="22"/>
      <c r="AD27" s="22"/>
    </row>
    <row r="28" spans="1:30" x14ac:dyDescent="0.25">
      <c r="B28" s="22"/>
      <c r="C28" s="22"/>
      <c r="D28" s="22"/>
      <c r="E28" s="22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2"/>
      <c r="AB28" s="22"/>
      <c r="AC28" s="22"/>
      <c r="AD28" s="22"/>
    </row>
    <row r="29" spans="1:30" x14ac:dyDescent="0.25">
      <c r="B29" s="22"/>
      <c r="C29" s="22"/>
      <c r="D29" s="22"/>
      <c r="E29" s="22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2"/>
      <c r="AB29" s="22"/>
      <c r="AC29" s="22"/>
      <c r="AD29" s="22"/>
    </row>
    <row r="30" spans="1:30" x14ac:dyDescent="0.25">
      <c r="A30" s="21"/>
      <c r="B30" s="22"/>
      <c r="C30" s="22"/>
      <c r="D30" s="22"/>
      <c r="E30" s="22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2"/>
      <c r="AB30" s="22"/>
      <c r="AC30" s="22"/>
      <c r="AD30" s="22"/>
    </row>
    <row r="31" spans="1:30" x14ac:dyDescent="0.25">
      <c r="A31" s="21"/>
      <c r="B31" s="22"/>
      <c r="C31" s="22"/>
      <c r="D31" s="22"/>
      <c r="E31" s="22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2"/>
      <c r="AB31" s="22"/>
      <c r="AC31" s="22"/>
      <c r="AD31" s="22"/>
    </row>
    <row r="32" spans="1:30" x14ac:dyDescent="0.25">
      <c r="A32" s="21"/>
      <c r="B32" s="22"/>
      <c r="C32" s="22"/>
      <c r="D32" s="22"/>
      <c r="E32" s="22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2"/>
      <c r="AB32" s="22"/>
      <c r="AC32" s="22"/>
      <c r="AD32" s="22"/>
    </row>
    <row r="33" spans="1:30" x14ac:dyDescent="0.25">
      <c r="A33" s="21"/>
      <c r="B33" s="22"/>
      <c r="C33" s="22"/>
      <c r="D33" s="22"/>
      <c r="E33" s="22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2"/>
      <c r="AB33" s="22"/>
      <c r="AC33" s="22"/>
      <c r="AD33" s="22"/>
    </row>
    <row r="34" spans="1:30" x14ac:dyDescent="0.25">
      <c r="A34" s="21"/>
      <c r="B34" s="22"/>
      <c r="C34" s="22"/>
      <c r="D34" s="22"/>
      <c r="E34" s="22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2"/>
      <c r="AB34" s="22"/>
      <c r="AC34" s="22"/>
      <c r="AD34" s="22"/>
    </row>
    <row r="35" spans="1:30" x14ac:dyDescent="0.25">
      <c r="A35" s="21"/>
      <c r="B35" s="22"/>
      <c r="C35" s="22"/>
      <c r="D35" s="22"/>
      <c r="E35" s="22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2"/>
      <c r="AB35" s="22"/>
      <c r="AC35" s="22"/>
      <c r="AD35" s="22"/>
    </row>
    <row r="36" spans="1:30" x14ac:dyDescent="0.25">
      <c r="A36" s="21"/>
      <c r="B36" s="22"/>
      <c r="C36" s="22"/>
      <c r="D36" s="22"/>
      <c r="E36" s="22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2"/>
      <c r="AB36" s="22"/>
      <c r="AC36" s="22"/>
      <c r="AD36" s="22"/>
    </row>
    <row r="37" spans="1:30" x14ac:dyDescent="0.25">
      <c r="A37" s="21"/>
      <c r="B37" s="22"/>
      <c r="C37" s="22"/>
      <c r="D37" s="22"/>
      <c r="E37" s="22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2"/>
      <c r="AB37" s="22"/>
      <c r="AC37" s="22"/>
      <c r="AD37" s="22"/>
    </row>
    <row r="38" spans="1:30" x14ac:dyDescent="0.25">
      <c r="A38" s="21"/>
      <c r="B38" s="22"/>
      <c r="C38" s="22"/>
      <c r="D38" s="22"/>
      <c r="E38" s="22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2"/>
      <c r="AB38" s="22"/>
      <c r="AC38" s="22"/>
      <c r="AD38" s="22"/>
    </row>
    <row r="39" spans="1:30" x14ac:dyDescent="0.25">
      <c r="A39" s="21"/>
      <c r="B39" s="22"/>
      <c r="C39" s="22"/>
      <c r="D39" s="22"/>
      <c r="E39" s="22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2"/>
      <c r="AB39" s="22"/>
      <c r="AC39" s="22"/>
      <c r="AD39" s="22"/>
    </row>
    <row r="40" spans="1:30" x14ac:dyDescent="0.25">
      <c r="A40" s="21"/>
      <c r="B40" s="22"/>
      <c r="C40" s="22"/>
      <c r="D40" s="22"/>
      <c r="E40" s="22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2"/>
      <c r="AB40" s="22"/>
      <c r="AC40" s="22"/>
      <c r="AD40" s="22"/>
    </row>
    <row r="41" spans="1:30" x14ac:dyDescent="0.25">
      <c r="A41" s="21"/>
      <c r="B41" s="22"/>
      <c r="C41" s="22"/>
      <c r="D41" s="22"/>
      <c r="E41" s="22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2"/>
      <c r="AB41" s="22"/>
      <c r="AC41" s="22"/>
      <c r="AD41" s="22"/>
    </row>
    <row r="42" spans="1:30" x14ac:dyDescent="0.25">
      <c r="A42" s="21"/>
      <c r="B42" s="22"/>
      <c r="C42" s="22"/>
      <c r="D42" s="22"/>
      <c r="E42" s="22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2"/>
      <c r="AB42" s="22"/>
      <c r="AC42" s="22"/>
      <c r="AD42" s="22"/>
    </row>
    <row r="43" spans="1:30" x14ac:dyDescent="0.25">
      <c r="A43" s="21"/>
      <c r="B43" s="22"/>
      <c r="C43" s="22"/>
      <c r="D43" s="22"/>
      <c r="E43" s="22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2"/>
      <c r="AB43" s="22"/>
      <c r="AC43" s="22"/>
      <c r="AD43" s="22"/>
    </row>
    <row r="44" spans="1:30" x14ac:dyDescent="0.25">
      <c r="A44" s="21"/>
      <c r="B44" s="22"/>
      <c r="C44" s="22"/>
      <c r="D44" s="22"/>
      <c r="E44" s="22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2"/>
      <c r="AB44" s="22"/>
      <c r="AC44" s="22"/>
      <c r="AD44" s="22"/>
    </row>
    <row r="45" spans="1:30" x14ac:dyDescent="0.25">
      <c r="A45" s="21"/>
      <c r="B45" s="22"/>
      <c r="C45" s="22"/>
      <c r="D45" s="22"/>
      <c r="E45" s="22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2"/>
      <c r="AB45" s="22"/>
      <c r="AC45" s="22"/>
      <c r="AD45" s="22"/>
    </row>
    <row r="46" spans="1:30" x14ac:dyDescent="0.25">
      <c r="A46" s="21"/>
      <c r="B46" s="22"/>
      <c r="C46" s="22"/>
      <c r="D46" s="22"/>
      <c r="E46" s="22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2"/>
      <c r="AB46" s="22"/>
      <c r="AC46" s="22"/>
      <c r="AD46" s="22"/>
    </row>
    <row r="47" spans="1:30" x14ac:dyDescent="0.25">
      <c r="A47" s="21"/>
      <c r="B47" s="22"/>
      <c r="C47" s="22"/>
      <c r="D47" s="22"/>
      <c r="E47" s="22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2"/>
      <c r="AB47" s="22"/>
      <c r="AC47" s="22"/>
      <c r="AD47" s="22"/>
    </row>
    <row r="48" spans="1:30" x14ac:dyDescent="0.25">
      <c r="A48" s="21"/>
      <c r="B48" s="22"/>
      <c r="C48" s="22"/>
      <c r="D48" s="22"/>
      <c r="E48" s="22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2"/>
      <c r="AB48" s="22"/>
      <c r="AC48" s="22"/>
      <c r="AD48" s="22"/>
    </row>
    <row r="49" spans="1:30" x14ac:dyDescent="0.25">
      <c r="A49" s="21"/>
      <c r="B49" s="22"/>
      <c r="C49" s="22"/>
      <c r="D49" s="22"/>
      <c r="E49" s="22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2"/>
      <c r="AB49" s="22"/>
      <c r="AC49" s="22"/>
      <c r="AD49" s="22"/>
    </row>
    <row r="50" spans="1:30" x14ac:dyDescent="0.25">
      <c r="A50" s="21"/>
      <c r="B50" s="22"/>
      <c r="C50" s="22"/>
      <c r="D50" s="22"/>
      <c r="E50" s="22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2"/>
      <c r="AB50" s="22"/>
      <c r="AC50" s="22"/>
      <c r="AD50" s="22"/>
    </row>
    <row r="51" spans="1:30" x14ac:dyDescent="0.25">
      <c r="A51" s="21"/>
      <c r="B51" s="22"/>
      <c r="C51" s="22"/>
      <c r="D51" s="22"/>
      <c r="E51" s="22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2"/>
      <c r="AB51" s="22"/>
      <c r="AC51" s="22"/>
      <c r="AD51" s="22"/>
    </row>
    <row r="52" spans="1:30" x14ac:dyDescent="0.25">
      <c r="A52" s="21"/>
      <c r="B52" s="22"/>
      <c r="C52" s="22"/>
      <c r="D52" s="22"/>
      <c r="E52" s="22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2"/>
      <c r="AB52" s="22"/>
      <c r="AC52" s="22"/>
      <c r="AD52" s="22"/>
    </row>
    <row r="53" spans="1:30" x14ac:dyDescent="0.25">
      <c r="A53" s="21"/>
      <c r="B53" s="22"/>
      <c r="C53" s="22"/>
      <c r="D53" s="22"/>
      <c r="E53" s="22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2"/>
      <c r="AB53" s="22"/>
      <c r="AC53" s="22"/>
      <c r="AD53" s="22"/>
    </row>
    <row r="54" spans="1:30" x14ac:dyDescent="0.25">
      <c r="A54" s="21"/>
      <c r="B54" s="22"/>
      <c r="C54" s="22"/>
      <c r="D54" s="22"/>
      <c r="E54" s="22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2"/>
      <c r="AB54" s="22"/>
      <c r="AC54" s="22"/>
      <c r="AD54" s="22"/>
    </row>
    <row r="55" spans="1:30" x14ac:dyDescent="0.25">
      <c r="A55" s="21"/>
      <c r="B55" s="22"/>
      <c r="C55" s="22"/>
      <c r="D55" s="22"/>
      <c r="E55" s="22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2"/>
      <c r="AB55" s="22"/>
      <c r="AC55" s="22"/>
      <c r="AD55" s="22"/>
    </row>
    <row r="56" spans="1:30" x14ac:dyDescent="0.25">
      <c r="A56" s="21"/>
      <c r="B56" s="22"/>
      <c r="C56" s="22"/>
      <c r="D56" s="22"/>
      <c r="E56" s="22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2"/>
      <c r="AB56" s="22"/>
      <c r="AC56" s="22"/>
      <c r="AD56" s="22"/>
    </row>
    <row r="57" spans="1:30" x14ac:dyDescent="0.25">
      <c r="A57" s="21"/>
      <c r="B57" s="22"/>
      <c r="C57" s="22"/>
      <c r="D57" s="22"/>
      <c r="E57" s="22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2"/>
      <c r="AB57" s="22"/>
      <c r="AC57" s="22"/>
      <c r="AD57" s="22"/>
    </row>
    <row r="58" spans="1:30" x14ac:dyDescent="0.25">
      <c r="A58" s="21"/>
      <c r="B58" s="22"/>
      <c r="C58" s="22"/>
      <c r="D58" s="22"/>
      <c r="E58" s="22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2"/>
      <c r="AB58" s="22"/>
      <c r="AC58" s="22"/>
      <c r="AD58" s="22"/>
    </row>
    <row r="59" spans="1:30" x14ac:dyDescent="0.25">
      <c r="A59" s="21"/>
      <c r="B59" s="22"/>
      <c r="C59" s="22"/>
      <c r="D59" s="22"/>
      <c r="E59" s="22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2"/>
      <c r="AB59" s="22"/>
      <c r="AC59" s="22"/>
      <c r="AD59" s="22"/>
    </row>
    <row r="60" spans="1:30" x14ac:dyDescent="0.25">
      <c r="A60" s="21"/>
      <c r="B60" s="22"/>
      <c r="C60" s="22"/>
      <c r="D60" s="22"/>
      <c r="E60" s="22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2"/>
      <c r="AB60" s="22"/>
      <c r="AC60" s="22"/>
      <c r="AD60" s="22"/>
    </row>
    <row r="61" spans="1:30" x14ac:dyDescent="0.25">
      <c r="A61" s="21"/>
      <c r="B61" s="22"/>
      <c r="C61" s="22"/>
      <c r="D61" s="22"/>
      <c r="E61" s="22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2"/>
      <c r="AB61" s="22"/>
      <c r="AC61" s="22"/>
      <c r="AD61" s="22"/>
    </row>
    <row r="62" spans="1:30" x14ac:dyDescent="0.25">
      <c r="A62" s="21"/>
      <c r="B62" s="22"/>
      <c r="C62" s="22"/>
      <c r="D62" s="22"/>
      <c r="E62" s="22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2"/>
      <c r="AB62" s="22"/>
      <c r="AC62" s="22"/>
      <c r="AD62" s="22"/>
    </row>
    <row r="63" spans="1:30" x14ac:dyDescent="0.25">
      <c r="A63" s="21"/>
      <c r="B63" s="22"/>
      <c r="C63" s="22"/>
      <c r="D63" s="22"/>
      <c r="E63" s="22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2"/>
      <c r="AB63" s="22"/>
      <c r="AC63" s="22"/>
      <c r="AD63" s="22"/>
    </row>
    <row r="64" spans="1:30" x14ac:dyDescent="0.25">
      <c r="A64" s="21"/>
      <c r="B64" s="22"/>
      <c r="C64" s="22"/>
      <c r="D64" s="22"/>
      <c r="E64" s="22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2"/>
      <c r="AB64" s="22"/>
      <c r="AC64" s="22"/>
      <c r="AD64" s="22"/>
    </row>
    <row r="65" spans="1:30" x14ac:dyDescent="0.25">
      <c r="A65" s="21"/>
      <c r="B65" s="22"/>
      <c r="C65" s="22"/>
      <c r="D65" s="22"/>
      <c r="E65" s="22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2"/>
      <c r="AB65" s="22"/>
      <c r="AC65" s="22"/>
      <c r="AD65" s="22"/>
    </row>
    <row r="66" spans="1:30" x14ac:dyDescent="0.25">
      <c r="A66" s="21"/>
      <c r="B66" s="22"/>
      <c r="C66" s="22"/>
      <c r="D66" s="22"/>
      <c r="E66" s="22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2"/>
      <c r="AB66" s="22"/>
      <c r="AC66" s="22"/>
      <c r="AD66" s="22"/>
    </row>
    <row r="67" spans="1:30" x14ac:dyDescent="0.25">
      <c r="A67" s="21"/>
      <c r="B67" s="22"/>
      <c r="C67" s="22"/>
      <c r="D67" s="22"/>
      <c r="E67" s="22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2"/>
      <c r="AB67" s="22"/>
      <c r="AC67" s="22"/>
      <c r="AD67" s="22"/>
    </row>
    <row r="68" spans="1:30" x14ac:dyDescent="0.25">
      <c r="A68" s="21"/>
      <c r="B68" s="22"/>
      <c r="C68" s="22"/>
      <c r="D68" s="22"/>
      <c r="E68" s="22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2"/>
      <c r="AB68" s="22"/>
      <c r="AC68" s="22"/>
      <c r="AD68" s="22"/>
    </row>
    <row r="69" spans="1:30" x14ac:dyDescent="0.25">
      <c r="A69" s="21"/>
      <c r="B69" s="22"/>
      <c r="C69" s="22"/>
      <c r="D69" s="22"/>
      <c r="E69" s="22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2"/>
      <c r="AB69" s="22"/>
      <c r="AC69" s="22"/>
      <c r="AD69" s="22"/>
    </row>
    <row r="70" spans="1:30" x14ac:dyDescent="0.25">
      <c r="A70" s="21"/>
      <c r="B70" s="22"/>
      <c r="C70" s="22"/>
      <c r="D70" s="22"/>
      <c r="E70" s="22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2"/>
      <c r="AB70" s="22"/>
      <c r="AC70" s="22"/>
      <c r="AD70" s="22"/>
    </row>
    <row r="71" spans="1:30" x14ac:dyDescent="0.25">
      <c r="A71" s="21"/>
      <c r="B71" s="22"/>
      <c r="C71" s="22"/>
      <c r="D71" s="22"/>
      <c r="E71" s="22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2"/>
      <c r="AB71" s="22"/>
      <c r="AC71" s="22"/>
      <c r="AD71" s="22"/>
    </row>
    <row r="72" spans="1:30" x14ac:dyDescent="0.25">
      <c r="A72" s="21"/>
      <c r="B72" s="22"/>
      <c r="C72" s="22"/>
      <c r="D72" s="22"/>
      <c r="E72" s="22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2"/>
      <c r="AB72" s="22"/>
      <c r="AC72" s="22"/>
      <c r="AD72" s="22"/>
    </row>
    <row r="73" spans="1:30" x14ac:dyDescent="0.25">
      <c r="A73" s="21"/>
      <c r="B73" s="22"/>
      <c r="C73" s="22"/>
      <c r="D73" s="22"/>
      <c r="E73" s="22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2"/>
      <c r="AB73" s="22"/>
      <c r="AC73" s="22"/>
      <c r="AD73" s="22"/>
    </row>
    <row r="74" spans="1:30" x14ac:dyDescent="0.25">
      <c r="A74" s="21"/>
      <c r="B74" s="22"/>
      <c r="C74" s="22"/>
      <c r="D74" s="22"/>
      <c r="E74" s="22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2"/>
      <c r="AB74" s="22"/>
      <c r="AC74" s="22"/>
      <c r="AD74" s="22"/>
    </row>
    <row r="75" spans="1:30" x14ac:dyDescent="0.25">
      <c r="A75" s="21"/>
      <c r="B75" s="22"/>
      <c r="C75" s="22"/>
      <c r="D75" s="22"/>
      <c r="E75" s="22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2"/>
      <c r="AB75" s="22"/>
      <c r="AC75" s="22"/>
      <c r="AD75" s="22"/>
    </row>
    <row r="76" spans="1:30" x14ac:dyDescent="0.25">
      <c r="A76" s="21"/>
      <c r="B76" s="22"/>
      <c r="C76" s="22"/>
      <c r="D76" s="22"/>
      <c r="E76" s="22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2"/>
      <c r="AB76" s="22"/>
      <c r="AC76" s="22"/>
      <c r="AD76" s="22"/>
    </row>
    <row r="77" spans="1:30" x14ac:dyDescent="0.25">
      <c r="A77" s="21"/>
      <c r="B77" s="22"/>
      <c r="C77" s="22"/>
      <c r="D77" s="22"/>
      <c r="E77" s="22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2"/>
      <c r="AB77" s="22"/>
      <c r="AC77" s="22"/>
      <c r="AD77" s="22"/>
    </row>
    <row r="78" spans="1:30" x14ac:dyDescent="0.25">
      <c r="A78" s="21"/>
      <c r="B78" s="22"/>
      <c r="C78" s="22"/>
      <c r="D78" s="22"/>
      <c r="E78" s="22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2"/>
      <c r="AB78" s="22"/>
      <c r="AC78" s="22"/>
      <c r="AD78" s="22"/>
    </row>
    <row r="79" spans="1:30" x14ac:dyDescent="0.25">
      <c r="A79" s="21"/>
      <c r="B79" s="22"/>
      <c r="C79" s="22"/>
      <c r="D79" s="22"/>
      <c r="E79" s="22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2"/>
      <c r="AB79" s="22"/>
      <c r="AC79" s="22"/>
      <c r="AD79" s="22"/>
    </row>
    <row r="80" spans="1:30" x14ac:dyDescent="0.25">
      <c r="A80" s="21"/>
      <c r="B80" s="22"/>
      <c r="C80" s="22"/>
      <c r="D80" s="22"/>
      <c r="E80" s="22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2"/>
      <c r="AB80" s="22"/>
      <c r="AC80" s="22"/>
      <c r="AD80" s="22"/>
    </row>
    <row r="81" spans="1:30" x14ac:dyDescent="0.25">
      <c r="A81" s="21"/>
      <c r="B81" s="22"/>
      <c r="C81" s="22"/>
      <c r="D81" s="22"/>
      <c r="E81" s="22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2"/>
      <c r="AB81" s="22"/>
      <c r="AC81" s="22"/>
      <c r="AD81" s="22"/>
    </row>
    <row r="82" spans="1:30" x14ac:dyDescent="0.25">
      <c r="A82" s="21"/>
      <c r="B82" s="22"/>
      <c r="C82" s="22"/>
      <c r="D82" s="22"/>
      <c r="E82" s="22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2"/>
      <c r="AB82" s="22"/>
      <c r="AC82" s="22"/>
      <c r="AD82" s="22"/>
    </row>
    <row r="83" spans="1:30" x14ac:dyDescent="0.25">
      <c r="A83" s="21"/>
      <c r="B83" s="22"/>
      <c r="C83" s="22"/>
      <c r="D83" s="22"/>
      <c r="E83" s="22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2"/>
      <c r="AB83" s="22"/>
      <c r="AC83" s="22"/>
      <c r="AD83" s="22"/>
    </row>
    <row r="84" spans="1:30" x14ac:dyDescent="0.25">
      <c r="A84" s="21"/>
      <c r="B84" s="22"/>
      <c r="C84" s="22"/>
      <c r="D84" s="22"/>
      <c r="E84" s="22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2"/>
      <c r="AB84" s="22"/>
      <c r="AC84" s="22"/>
      <c r="AD84" s="22"/>
    </row>
    <row r="85" spans="1:30" x14ac:dyDescent="0.25">
      <c r="A85" s="21"/>
      <c r="B85" s="22"/>
      <c r="C85" s="22"/>
      <c r="D85" s="22"/>
      <c r="E85" s="22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2"/>
      <c r="AB85" s="22"/>
      <c r="AC85" s="22"/>
      <c r="AD85" s="22"/>
    </row>
  </sheetData>
  <phoneticPr fontId="4" type="noConversion"/>
  <conditionalFormatting sqref="C9:C20">
    <cfRule type="expression" dxfId="8" priority="4">
      <formula>$N9="Sim"</formula>
    </cfRule>
  </conditionalFormatting>
  <dataValidations count="2">
    <dataValidation type="list" allowBlank="1" showInputMessage="1" showErrorMessage="1" sqref="N9:N20" xr:uid="{421D415A-567A-42FF-AD52-AC171877CA4B}">
      <formula1>"SIM,NAO"</formula1>
    </dataValidation>
    <dataValidation type="list" allowBlank="1" showInputMessage="1" showErrorMessage="1" sqref="A17" xr:uid="{FA2DAA22-C0F2-4628-81AB-1B58E0029E43}">
      <formula1>ListaAlunos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9542F-9128-4A57-A262-55F47062FA44}">
  <sheetPr codeName="Planilha5"/>
  <dimension ref="A1:BI496"/>
  <sheetViews>
    <sheetView showGridLines="0" showRowColHeaders="0" tabSelected="1" workbookViewId="0">
      <selection activeCell="J37" sqref="J3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26.5703125" style="3" customWidth="1"/>
    <col min="2" max="2" width="10.42578125" bestFit="1" customWidth="1"/>
    <col min="3" max="3" width="11.42578125" style="16" hidden="1" customWidth="1"/>
    <col min="4" max="4" width="13.5703125" bestFit="1" customWidth="1"/>
    <col min="5" max="5" width="12.5703125" style="19" bestFit="1" customWidth="1"/>
    <col min="6" max="6" width="16.5703125" style="19" customWidth="1"/>
    <col min="7" max="7" width="13" bestFit="1" customWidth="1"/>
    <col min="8" max="8" width="22.85546875" style="12" bestFit="1" customWidth="1"/>
    <col min="9" max="9" width="20.28515625" bestFit="1" customWidth="1"/>
    <col min="10" max="10" width="15.42578125" bestFit="1" customWidth="1"/>
    <col min="11" max="11" width="12.85546875" bestFit="1" customWidth="1"/>
    <col min="28" max="28" width="12.28515625" customWidth="1"/>
  </cols>
  <sheetData>
    <row r="1" spans="1:61" x14ac:dyDescent="0.25">
      <c r="A1" s="7"/>
      <c r="B1" s="7"/>
      <c r="C1" s="14"/>
      <c r="D1" s="7"/>
      <c r="E1" s="17"/>
      <c r="F1" s="17"/>
      <c r="G1" s="7"/>
      <c r="H1" s="10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</row>
    <row r="2" spans="1:61" x14ac:dyDescent="0.25">
      <c r="B2" s="41"/>
      <c r="C2" s="14"/>
      <c r="D2" s="7"/>
      <c r="E2" s="17"/>
      <c r="F2" s="17"/>
      <c r="G2" s="7"/>
      <c r="H2" s="10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61" ht="24.75" thickBot="1" x14ac:dyDescent="0.3">
      <c r="B3" s="7"/>
      <c r="C3" s="15" t="s">
        <v>5</v>
      </c>
      <c r="D3" s="81" t="s">
        <v>71</v>
      </c>
      <c r="E3" s="18"/>
      <c r="F3" s="18"/>
      <c r="G3" s="13"/>
      <c r="H3" s="11"/>
      <c r="I3" s="9"/>
      <c r="J3" s="13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Z3" s="9"/>
      <c r="AA3" s="9"/>
      <c r="AB3" s="7"/>
    </row>
    <row r="4" spans="1:61" ht="15.75" thickTop="1" x14ac:dyDescent="0.25">
      <c r="B4" s="78">
        <f ca="1">DATE(YEAR(TODAY()),MONTH(TODAY()),1)</f>
        <v>46023</v>
      </c>
      <c r="C4" s="14"/>
      <c r="D4" s="7"/>
      <c r="E4" s="17"/>
      <c r="F4" s="17"/>
      <c r="G4" s="7"/>
      <c r="H4" s="10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61" x14ac:dyDescent="0.25">
      <c r="B5" s="7"/>
      <c r="C5" s="14"/>
      <c r="D5" s="7"/>
      <c r="E5" s="17"/>
      <c r="F5" s="17"/>
      <c r="G5" s="7"/>
      <c r="H5" s="10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61" x14ac:dyDescent="0.25">
      <c r="B6" s="22"/>
      <c r="C6" s="23"/>
      <c r="D6" s="24"/>
      <c r="E6" s="25"/>
      <c r="F6" s="25"/>
      <c r="G6" s="24"/>
      <c r="H6" s="26"/>
      <c r="I6" s="22"/>
      <c r="J6" s="24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</row>
    <row r="7" spans="1:61" x14ac:dyDescent="0.25">
      <c r="B7" s="22"/>
      <c r="C7" s="27"/>
      <c r="D7" s="21"/>
      <c r="E7" s="28"/>
      <c r="F7" s="28"/>
      <c r="G7" s="21"/>
      <c r="H7" s="29"/>
      <c r="I7" s="21"/>
      <c r="J7" s="21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</row>
    <row r="8" spans="1:61" ht="18.75" x14ac:dyDescent="0.25">
      <c r="B8" s="22"/>
      <c r="C8" s="40"/>
      <c r="D8" s="30"/>
      <c r="E8" s="31"/>
      <c r="F8" s="66"/>
      <c r="G8" s="63"/>
      <c r="H8" s="31"/>
      <c r="I8" s="32"/>
      <c r="J8" s="33"/>
      <c r="K8" s="31"/>
      <c r="L8" s="31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</row>
    <row r="9" spans="1:61" ht="18.75" x14ac:dyDescent="0.25">
      <c r="B9" s="22"/>
      <c r="C9" s="64"/>
      <c r="D9" s="42"/>
      <c r="E9" s="64"/>
      <c r="F9" s="42"/>
      <c r="G9" s="65"/>
      <c r="H9" s="64"/>
      <c r="I9" s="43"/>
      <c r="J9" s="44"/>
      <c r="K9" s="64"/>
      <c r="L9" s="64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</row>
    <row r="10" spans="1:61" ht="18.75" x14ac:dyDescent="0.25">
      <c r="B10" s="22"/>
      <c r="C10" s="64"/>
      <c r="D10" s="42"/>
      <c r="E10" s="64"/>
      <c r="F10" s="42"/>
      <c r="G10" s="65"/>
      <c r="H10" s="64"/>
      <c r="I10" s="43"/>
      <c r="J10" s="44"/>
      <c r="K10" s="64"/>
      <c r="L10" s="64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</row>
    <row r="11" spans="1:61" x14ac:dyDescent="0.25">
      <c r="B11" s="22"/>
      <c r="C11" s="23"/>
      <c r="D11" s="24"/>
      <c r="E11" s="25"/>
      <c r="F11" s="25"/>
      <c r="G11" s="24"/>
      <c r="H11" s="26"/>
      <c r="I11" s="22"/>
      <c r="J11" s="24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</row>
    <row r="12" spans="1:61" x14ac:dyDescent="0.25">
      <c r="B12" s="22"/>
      <c r="C12" s="23"/>
      <c r="D12" s="24"/>
      <c r="E12" s="25"/>
      <c r="F12" s="25"/>
      <c r="G12" s="24"/>
      <c r="H12" s="26"/>
      <c r="I12" s="22"/>
      <c r="J12" s="24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</row>
    <row r="13" spans="1:61" x14ac:dyDescent="0.25">
      <c r="B13" s="22"/>
      <c r="C13" s="23"/>
      <c r="D13" s="24"/>
      <c r="E13" s="25"/>
      <c r="F13" s="25"/>
      <c r="G13" s="24"/>
      <c r="H13" s="26"/>
      <c r="I13" s="22"/>
      <c r="J13" s="24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</row>
    <row r="14" spans="1:61" x14ac:dyDescent="0.25">
      <c r="B14" s="22"/>
      <c r="C14" s="23"/>
      <c r="D14" s="24"/>
      <c r="E14" s="25"/>
      <c r="F14" s="25"/>
      <c r="G14" s="24"/>
      <c r="H14" s="26"/>
      <c r="I14" s="22"/>
      <c r="J14" s="24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</row>
    <row r="15" spans="1:61" x14ac:dyDescent="0.25">
      <c r="B15" s="22"/>
      <c r="C15" s="23"/>
      <c r="D15" s="24"/>
      <c r="E15" s="25"/>
      <c r="F15" s="25"/>
      <c r="G15" s="24"/>
      <c r="H15" s="26"/>
      <c r="I15" s="22"/>
      <c r="J15" s="24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</row>
    <row r="16" spans="1:61" x14ac:dyDescent="0.25">
      <c r="B16" s="22"/>
      <c r="C16" s="23"/>
      <c r="D16" s="24"/>
      <c r="E16" s="25"/>
      <c r="F16" s="25"/>
      <c r="G16" s="24"/>
      <c r="H16" s="26"/>
      <c r="I16" s="22"/>
      <c r="J16" s="24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</row>
    <row r="17" spans="2:61" x14ac:dyDescent="0.25">
      <c r="B17" s="22"/>
      <c r="C17" s="23"/>
      <c r="D17" s="24"/>
      <c r="E17" s="25"/>
      <c r="F17" s="25"/>
      <c r="G17" s="24"/>
      <c r="H17" s="26"/>
      <c r="I17" s="22"/>
      <c r="J17" s="24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</row>
    <row r="18" spans="2:61" x14ac:dyDescent="0.25">
      <c r="B18" s="22"/>
      <c r="C18" s="23"/>
      <c r="D18" s="24"/>
      <c r="E18" s="25"/>
      <c r="F18" s="25"/>
      <c r="G18" s="24"/>
      <c r="H18" s="26"/>
      <c r="I18" s="22"/>
      <c r="J18" s="24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</row>
    <row r="19" spans="2:61" x14ac:dyDescent="0.25">
      <c r="B19" s="22"/>
      <c r="C19" s="23"/>
      <c r="D19" s="24"/>
      <c r="E19" s="25"/>
      <c r="F19" s="25"/>
      <c r="G19" s="24" t="e" cm="1">
        <f t="array" aca="1" ref="G19" ca="1">SUMPRODUCT(
 (tb_pagamentos[MesRef]=Dashboard!$B$4)*
 (tb_pagamentos[Pago]="SIM")*
 INDEX(
   tb_alunos[Valor],
   MATCH(tb_pagamentos[AlunoID],tb_alunos[ID],0)
 )
)</f>
        <v>#N/A</v>
      </c>
      <c r="H19" s="26"/>
      <c r="I19" s="22"/>
      <c r="J19" s="24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</row>
    <row r="20" spans="2:61" x14ac:dyDescent="0.25">
      <c r="B20" s="22"/>
      <c r="C20" s="23"/>
      <c r="D20" s="24"/>
      <c r="E20" s="25"/>
      <c r="F20" s="25"/>
      <c r="G20" s="24"/>
      <c r="H20" s="26"/>
      <c r="I20" s="22"/>
      <c r="J20" s="24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</row>
    <row r="21" spans="2:61" x14ac:dyDescent="0.25">
      <c r="B21" s="22"/>
      <c r="C21" s="23"/>
      <c r="D21" s="24"/>
      <c r="E21" s="25"/>
      <c r="F21" s="25"/>
      <c r="G21" s="24"/>
      <c r="H21" s="26"/>
      <c r="I21" s="22"/>
      <c r="J21" s="24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</row>
    <row r="22" spans="2:61" x14ac:dyDescent="0.25">
      <c r="B22" s="22"/>
      <c r="C22" s="23"/>
      <c r="D22" s="24"/>
      <c r="E22" s="25"/>
      <c r="F22" s="25"/>
      <c r="G22" s="24"/>
      <c r="H22" s="26"/>
      <c r="I22" s="22"/>
      <c r="J22" s="24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</row>
    <row r="23" spans="2:61" x14ac:dyDescent="0.25">
      <c r="B23" s="22"/>
      <c r="C23" s="23"/>
      <c r="D23" s="24"/>
      <c r="E23" s="25"/>
      <c r="F23" s="25"/>
      <c r="G23" s="24"/>
      <c r="H23" s="26"/>
      <c r="I23" s="22"/>
      <c r="J23" s="24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</row>
    <row r="24" spans="2:61" x14ac:dyDescent="0.25">
      <c r="B24" s="22"/>
      <c r="C24" s="23"/>
      <c r="D24" s="24"/>
      <c r="E24" s="25"/>
      <c r="F24" s="25"/>
      <c r="G24" s="24"/>
      <c r="H24" s="26"/>
      <c r="I24" s="22"/>
      <c r="J24" s="24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</row>
    <row r="25" spans="2:61" x14ac:dyDescent="0.25">
      <c r="B25" s="22"/>
      <c r="C25" s="23"/>
      <c r="D25" s="24"/>
      <c r="E25" s="25"/>
      <c r="F25" s="25"/>
      <c r="G25" s="24"/>
      <c r="H25" s="26"/>
      <c r="I25" s="22"/>
      <c r="J25" s="24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</row>
    <row r="26" spans="2:61" x14ac:dyDescent="0.25">
      <c r="B26" s="22"/>
      <c r="C26" s="23"/>
      <c r="D26" s="24"/>
      <c r="E26" s="25"/>
      <c r="F26" s="25"/>
      <c r="G26" s="24"/>
      <c r="H26" s="26"/>
      <c r="I26" s="22"/>
      <c r="J26" s="24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</row>
    <row r="27" spans="2:61" x14ac:dyDescent="0.25">
      <c r="B27" s="22"/>
      <c r="C27" s="23"/>
      <c r="D27" s="24"/>
      <c r="E27" s="25"/>
      <c r="F27" s="25"/>
      <c r="G27" s="24"/>
      <c r="H27" s="26"/>
      <c r="I27" s="22"/>
      <c r="J27" s="24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</row>
    <row r="28" spans="2:61" x14ac:dyDescent="0.25">
      <c r="B28" s="22"/>
      <c r="C28" s="23"/>
      <c r="D28" s="24"/>
      <c r="E28" s="25"/>
      <c r="F28" s="25"/>
      <c r="G28" s="24"/>
      <c r="H28" s="26"/>
      <c r="I28" s="22"/>
      <c r="J28" s="24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</row>
    <row r="29" spans="2:61" x14ac:dyDescent="0.25">
      <c r="B29" s="22"/>
      <c r="C29" s="23"/>
      <c r="D29" s="24"/>
      <c r="E29" s="25"/>
      <c r="F29" s="25"/>
      <c r="G29" s="24"/>
      <c r="H29" s="26"/>
      <c r="I29" s="22"/>
      <c r="J29" s="24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</row>
    <row r="30" spans="2:61" x14ac:dyDescent="0.25">
      <c r="B30" s="22"/>
      <c r="C30" s="23"/>
      <c r="D30" s="24"/>
      <c r="E30" s="25"/>
      <c r="F30" s="25"/>
      <c r="G30" s="24"/>
      <c r="H30" s="26"/>
      <c r="I30" s="22"/>
      <c r="J30" s="24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</row>
    <row r="31" spans="2:61" x14ac:dyDescent="0.25">
      <c r="B31" s="22"/>
      <c r="C31" s="23"/>
      <c r="D31" s="24"/>
      <c r="E31" s="25"/>
      <c r="F31" s="25"/>
      <c r="G31" s="24"/>
      <c r="H31" s="26"/>
      <c r="I31" s="22"/>
      <c r="J31" s="24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</row>
    <row r="32" spans="2:61" x14ac:dyDescent="0.25">
      <c r="B32" s="22"/>
      <c r="C32" s="23"/>
      <c r="D32" s="24"/>
      <c r="E32" s="25"/>
      <c r="F32" s="25"/>
      <c r="G32" s="24"/>
      <c r="H32" s="26"/>
      <c r="I32" s="22"/>
      <c r="J32" s="24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</row>
    <row r="33" spans="1:61" x14ac:dyDescent="0.25">
      <c r="B33" s="22"/>
      <c r="C33" s="23"/>
      <c r="D33" s="24"/>
      <c r="E33" s="25"/>
      <c r="F33" s="25"/>
      <c r="G33" s="24"/>
      <c r="H33" s="26"/>
      <c r="I33" s="22"/>
      <c r="J33" s="24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</row>
    <row r="34" spans="1:61" x14ac:dyDescent="0.25">
      <c r="B34" s="22"/>
      <c r="C34" s="23"/>
      <c r="D34" s="24"/>
      <c r="E34" s="25"/>
      <c r="F34" s="25"/>
      <c r="G34" s="24"/>
      <c r="H34" s="26"/>
      <c r="I34" s="22"/>
      <c r="J34" s="24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</row>
    <row r="35" spans="1:61" x14ac:dyDescent="0.25">
      <c r="B35" s="22"/>
      <c r="C35" s="23"/>
      <c r="D35" s="24"/>
      <c r="E35" s="25"/>
      <c r="F35" s="25"/>
      <c r="G35" s="24"/>
      <c r="H35" s="26"/>
      <c r="I35" s="22"/>
      <c r="J35" s="24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</row>
    <row r="36" spans="1:61" x14ac:dyDescent="0.25">
      <c r="B36" s="22"/>
      <c r="C36" s="23"/>
      <c r="D36" s="24"/>
      <c r="E36" s="25"/>
      <c r="F36" s="25"/>
      <c r="G36" s="24"/>
      <c r="H36" s="26"/>
      <c r="I36" s="22"/>
      <c r="J36" s="24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</row>
    <row r="37" spans="1:61" x14ac:dyDescent="0.25">
      <c r="B37" s="22"/>
      <c r="C37" s="23"/>
      <c r="D37" s="24"/>
      <c r="E37" s="25"/>
      <c r="F37" s="25"/>
      <c r="G37" s="24"/>
      <c r="H37" s="26"/>
      <c r="I37" s="22"/>
      <c r="J37" s="24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</row>
    <row r="38" spans="1:61" x14ac:dyDescent="0.25">
      <c r="B38" s="22"/>
      <c r="C38" s="23"/>
      <c r="D38" s="24"/>
      <c r="E38" s="25"/>
      <c r="F38" s="25"/>
      <c r="G38" s="24"/>
      <c r="H38" s="26"/>
      <c r="I38" s="22"/>
      <c r="J38" s="24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</row>
    <row r="39" spans="1:61" x14ac:dyDescent="0.25">
      <c r="B39" s="22"/>
      <c r="C39" s="23"/>
      <c r="D39" s="24"/>
      <c r="E39" s="25"/>
      <c r="F39" s="25"/>
      <c r="G39" s="24"/>
      <c r="H39" s="26"/>
      <c r="I39" s="22"/>
      <c r="J39" s="24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</row>
    <row r="40" spans="1:61" x14ac:dyDescent="0.25">
      <c r="B40" s="22"/>
      <c r="C40" s="23"/>
      <c r="D40" s="24"/>
      <c r="E40" s="25"/>
      <c r="F40" s="25"/>
      <c r="G40" s="24"/>
      <c r="H40" s="26"/>
      <c r="I40" s="22"/>
      <c r="J40" s="24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</row>
    <row r="41" spans="1:61" x14ac:dyDescent="0.25">
      <c r="B41" s="22"/>
      <c r="C41" s="23"/>
      <c r="D41" s="24"/>
      <c r="E41" s="25"/>
      <c r="F41" s="25"/>
      <c r="G41" s="24"/>
      <c r="H41" s="26"/>
      <c r="I41" s="22"/>
      <c r="J41" s="24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</row>
    <row r="42" spans="1:61" x14ac:dyDescent="0.25">
      <c r="B42" s="22"/>
      <c r="C42" s="23"/>
      <c r="D42" s="24"/>
      <c r="E42" s="25"/>
      <c r="F42" s="25"/>
      <c r="G42" s="24"/>
      <c r="H42" s="26"/>
      <c r="I42" s="22"/>
      <c r="J42" s="24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</row>
    <row r="43" spans="1:61" x14ac:dyDescent="0.25">
      <c r="A43" s="21"/>
      <c r="B43" s="22"/>
      <c r="C43" s="23"/>
      <c r="D43" s="24"/>
      <c r="E43" s="25"/>
      <c r="F43" s="25"/>
      <c r="G43" s="24"/>
      <c r="H43" s="26"/>
      <c r="I43" s="22"/>
      <c r="J43" s="24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</row>
    <row r="44" spans="1:61" x14ac:dyDescent="0.25">
      <c r="A44" s="21"/>
      <c r="B44" s="22"/>
      <c r="C44" s="23"/>
      <c r="D44" s="24"/>
      <c r="E44" s="25"/>
      <c r="F44" s="25"/>
      <c r="G44" s="24"/>
      <c r="H44" s="26"/>
      <c r="I44" s="22"/>
      <c r="J44" s="24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</row>
    <row r="45" spans="1:61" x14ac:dyDescent="0.25">
      <c r="A45" s="21"/>
      <c r="B45" s="22"/>
      <c r="C45" s="23"/>
      <c r="D45" s="24"/>
      <c r="E45" s="25"/>
      <c r="F45" s="25"/>
      <c r="G45" s="24"/>
      <c r="H45" s="26"/>
      <c r="I45" s="22"/>
      <c r="J45" s="24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</row>
    <row r="46" spans="1:61" x14ac:dyDescent="0.25">
      <c r="A46" s="21"/>
      <c r="B46" s="22"/>
      <c r="C46" s="23"/>
      <c r="D46" s="24"/>
      <c r="E46" s="25"/>
      <c r="F46" s="25"/>
      <c r="G46" s="24"/>
      <c r="H46" s="26"/>
      <c r="I46" s="22"/>
      <c r="J46" s="24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</row>
    <row r="47" spans="1:61" x14ac:dyDescent="0.25">
      <c r="A47" s="21"/>
      <c r="B47" s="22"/>
      <c r="C47" s="23"/>
      <c r="D47" s="24"/>
      <c r="E47" s="25"/>
      <c r="F47" s="25"/>
      <c r="G47" s="24"/>
      <c r="H47" s="26"/>
      <c r="I47" s="22"/>
      <c r="J47" s="24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</row>
    <row r="48" spans="1:61" x14ac:dyDescent="0.25">
      <c r="A48" s="21"/>
      <c r="B48" s="22"/>
      <c r="C48" s="23"/>
      <c r="D48" s="24"/>
      <c r="E48" s="25"/>
      <c r="F48" s="25"/>
      <c r="G48" s="24"/>
      <c r="H48" s="26"/>
      <c r="I48" s="22"/>
      <c r="J48" s="24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</row>
    <row r="49" spans="1:61" x14ac:dyDescent="0.25">
      <c r="A49" s="21"/>
      <c r="B49" s="22"/>
      <c r="C49" s="23"/>
      <c r="D49" s="24"/>
      <c r="E49" s="25"/>
      <c r="F49" s="25"/>
      <c r="G49" s="24"/>
      <c r="H49" s="26"/>
      <c r="I49" s="22"/>
      <c r="J49" s="24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</row>
    <row r="50" spans="1:61" x14ac:dyDescent="0.25">
      <c r="A50" s="21"/>
      <c r="B50" s="22"/>
      <c r="C50" s="23"/>
      <c r="D50" s="24"/>
      <c r="E50" s="25"/>
      <c r="F50" s="25"/>
      <c r="G50" s="24"/>
      <c r="H50" s="26"/>
      <c r="I50" s="22"/>
      <c r="J50" s="24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</row>
    <row r="51" spans="1:61" x14ac:dyDescent="0.25">
      <c r="A51" s="21"/>
      <c r="B51" s="22"/>
      <c r="C51" s="23"/>
      <c r="D51" s="24"/>
      <c r="E51" s="25"/>
      <c r="F51" s="25"/>
      <c r="G51" s="24"/>
      <c r="H51" s="26"/>
      <c r="I51" s="22"/>
      <c r="J51" s="24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</row>
    <row r="52" spans="1:61" x14ac:dyDescent="0.25">
      <c r="A52" s="21"/>
      <c r="B52" s="22"/>
      <c r="C52" s="23"/>
      <c r="D52" s="24"/>
      <c r="E52" s="25"/>
      <c r="F52" s="25"/>
      <c r="G52" s="24"/>
      <c r="H52" s="26"/>
      <c r="I52" s="22"/>
      <c r="J52" s="24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</row>
    <row r="53" spans="1:61" x14ac:dyDescent="0.25">
      <c r="A53" s="21"/>
      <c r="B53" s="22"/>
      <c r="C53" s="23"/>
      <c r="D53" s="24"/>
      <c r="E53" s="25"/>
      <c r="F53" s="25"/>
      <c r="G53" s="24"/>
      <c r="H53" s="26"/>
      <c r="I53" s="22"/>
      <c r="J53" s="24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</row>
    <row r="54" spans="1:61" x14ac:dyDescent="0.25">
      <c r="A54" s="21"/>
      <c r="B54" s="22"/>
      <c r="C54" s="23"/>
      <c r="D54" s="24"/>
      <c r="E54" s="25"/>
      <c r="F54" s="25"/>
      <c r="G54" s="24"/>
      <c r="H54" s="26"/>
      <c r="I54" s="22"/>
      <c r="J54" s="24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</row>
    <row r="55" spans="1:61" x14ac:dyDescent="0.25">
      <c r="A55" s="21"/>
      <c r="B55" s="22"/>
      <c r="C55" s="23"/>
      <c r="D55" s="24"/>
      <c r="E55" s="25"/>
      <c r="F55" s="25"/>
      <c r="G55" s="24"/>
      <c r="H55" s="26"/>
      <c r="I55" s="22"/>
      <c r="J55" s="24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</row>
    <row r="56" spans="1:61" x14ac:dyDescent="0.25">
      <c r="A56" s="21"/>
      <c r="B56" s="22"/>
      <c r="C56" s="23"/>
      <c r="D56" s="24"/>
      <c r="E56" s="25"/>
      <c r="F56" s="25"/>
      <c r="G56" s="24"/>
      <c r="H56" s="26"/>
      <c r="I56" s="22"/>
      <c r="J56" s="24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</row>
    <row r="57" spans="1:61" x14ac:dyDescent="0.25">
      <c r="A57" s="21"/>
      <c r="B57" s="22"/>
      <c r="C57" s="23"/>
      <c r="D57" s="24"/>
      <c r="E57" s="25"/>
      <c r="F57" s="25"/>
      <c r="G57" s="24"/>
      <c r="H57" s="26"/>
      <c r="I57" s="22"/>
      <c r="J57" s="24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</row>
    <row r="58" spans="1:61" x14ac:dyDescent="0.25">
      <c r="A58" s="21"/>
      <c r="B58" s="22"/>
      <c r="C58" s="23"/>
      <c r="D58" s="24"/>
      <c r="E58" s="25"/>
      <c r="F58" s="25"/>
      <c r="G58" s="24"/>
      <c r="H58" s="26"/>
      <c r="I58" s="22"/>
      <c r="J58" s="24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</row>
    <row r="59" spans="1:61" x14ac:dyDescent="0.25">
      <c r="A59" s="21"/>
      <c r="B59" s="22"/>
      <c r="C59" s="23"/>
      <c r="D59" s="24"/>
      <c r="E59" s="25"/>
      <c r="F59" s="25"/>
      <c r="G59" s="24"/>
      <c r="H59" s="26"/>
      <c r="I59" s="22"/>
      <c r="J59" s="24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</row>
    <row r="60" spans="1:61" x14ac:dyDescent="0.25">
      <c r="A60" s="21"/>
      <c r="B60" s="22"/>
      <c r="C60" s="23"/>
      <c r="D60" s="24"/>
      <c r="E60" s="25"/>
      <c r="F60" s="25"/>
      <c r="G60" s="24"/>
      <c r="H60" s="26"/>
      <c r="I60" s="22"/>
      <c r="J60" s="24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</row>
    <row r="61" spans="1:61" x14ac:dyDescent="0.25">
      <c r="A61" s="21"/>
      <c r="B61" s="22"/>
      <c r="C61" s="23"/>
      <c r="D61" s="24"/>
      <c r="E61" s="25"/>
      <c r="F61" s="25"/>
      <c r="G61" s="24"/>
      <c r="H61" s="26"/>
      <c r="I61" s="22"/>
      <c r="J61" s="24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</row>
    <row r="62" spans="1:61" x14ac:dyDescent="0.25">
      <c r="A62" s="21"/>
      <c r="B62" s="22"/>
      <c r="C62" s="23"/>
      <c r="D62" s="24"/>
      <c r="E62" s="25"/>
      <c r="F62" s="25"/>
      <c r="G62" s="24"/>
      <c r="H62" s="26"/>
      <c r="I62" s="22"/>
      <c r="J62" s="24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</row>
    <row r="63" spans="1:61" x14ac:dyDescent="0.25">
      <c r="A63" s="21"/>
      <c r="B63" s="22"/>
      <c r="C63" s="23"/>
      <c r="D63" s="24"/>
      <c r="E63" s="25"/>
      <c r="F63" s="25"/>
      <c r="G63" s="24"/>
      <c r="H63" s="26"/>
      <c r="I63" s="22"/>
      <c r="J63" s="24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</row>
    <row r="64" spans="1:61" x14ac:dyDescent="0.25">
      <c r="A64" s="21"/>
      <c r="B64" s="22"/>
      <c r="C64" s="23"/>
      <c r="D64" s="24"/>
      <c r="E64" s="25"/>
      <c r="F64" s="25"/>
      <c r="G64" s="24"/>
      <c r="H64" s="26"/>
      <c r="I64" s="22"/>
      <c r="J64" s="24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</row>
    <row r="65" spans="1:61" x14ac:dyDescent="0.25">
      <c r="A65" s="21"/>
      <c r="B65" s="22"/>
      <c r="C65" s="23"/>
      <c r="D65" s="24"/>
      <c r="E65" s="25"/>
      <c r="F65" s="25"/>
      <c r="G65" s="24"/>
      <c r="H65" s="26"/>
      <c r="I65" s="22"/>
      <c r="J65" s="24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</row>
    <row r="66" spans="1:61" x14ac:dyDescent="0.25">
      <c r="A66" s="21"/>
      <c r="B66" s="22"/>
      <c r="C66" s="23"/>
      <c r="D66" s="24"/>
      <c r="E66" s="25"/>
      <c r="F66" s="25"/>
      <c r="G66" s="24"/>
      <c r="H66" s="26"/>
      <c r="I66" s="22"/>
      <c r="J66" s="24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</row>
    <row r="67" spans="1:61" x14ac:dyDescent="0.25">
      <c r="A67" s="21"/>
      <c r="B67" s="22"/>
      <c r="C67" s="23"/>
      <c r="D67" s="24"/>
      <c r="E67" s="25"/>
      <c r="F67" s="25"/>
      <c r="G67" s="24"/>
      <c r="H67" s="26"/>
      <c r="I67" s="22"/>
      <c r="J67" s="24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</row>
    <row r="68" spans="1:61" x14ac:dyDescent="0.25">
      <c r="A68" s="21"/>
      <c r="B68" s="22"/>
      <c r="C68" s="23"/>
      <c r="D68" s="24"/>
      <c r="E68" s="25"/>
      <c r="F68" s="25"/>
      <c r="G68" s="24"/>
      <c r="H68" s="26"/>
      <c r="I68" s="22"/>
      <c r="J68" s="24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</row>
    <row r="69" spans="1:61" x14ac:dyDescent="0.25">
      <c r="A69" s="21"/>
      <c r="B69" s="22"/>
      <c r="C69" s="23"/>
      <c r="D69" s="24"/>
      <c r="E69" s="25"/>
      <c r="F69" s="25"/>
      <c r="G69" s="24"/>
      <c r="H69" s="26"/>
      <c r="I69" s="22"/>
      <c r="J69" s="24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</row>
    <row r="70" spans="1:61" x14ac:dyDescent="0.25">
      <c r="A70" s="21"/>
      <c r="B70" s="22"/>
      <c r="C70" s="23"/>
      <c r="D70" s="24"/>
      <c r="E70" s="25"/>
      <c r="F70" s="25"/>
      <c r="G70" s="24"/>
      <c r="H70" s="26"/>
      <c r="I70" s="22"/>
      <c r="J70" s="24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</row>
    <row r="71" spans="1:61" x14ac:dyDescent="0.25">
      <c r="A71" s="21"/>
      <c r="B71" s="22"/>
      <c r="C71" s="23"/>
      <c r="D71" s="24"/>
      <c r="E71" s="25"/>
      <c r="F71" s="25"/>
      <c r="G71" s="24"/>
      <c r="H71" s="26"/>
      <c r="I71" s="22"/>
      <c r="J71" s="24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</row>
    <row r="72" spans="1:61" x14ac:dyDescent="0.25">
      <c r="A72" s="21"/>
      <c r="B72" s="22"/>
      <c r="C72" s="23"/>
      <c r="D72" s="24"/>
      <c r="E72" s="25"/>
      <c r="F72" s="25"/>
      <c r="G72" s="24"/>
      <c r="H72" s="26"/>
      <c r="I72" s="22"/>
      <c r="J72" s="24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</row>
    <row r="73" spans="1:61" x14ac:dyDescent="0.25">
      <c r="A73" s="21"/>
      <c r="B73" s="22"/>
      <c r="C73" s="23"/>
      <c r="D73" s="24"/>
      <c r="E73" s="25"/>
      <c r="F73" s="25"/>
      <c r="G73" s="24"/>
      <c r="H73" s="26"/>
      <c r="I73" s="22"/>
      <c r="J73" s="24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</row>
    <row r="74" spans="1:61" x14ac:dyDescent="0.25">
      <c r="A74" s="21"/>
      <c r="B74" s="22"/>
      <c r="C74" s="23"/>
      <c r="D74" s="24"/>
      <c r="E74" s="25"/>
      <c r="F74" s="25"/>
      <c r="G74" s="24"/>
      <c r="H74" s="26"/>
      <c r="I74" s="22"/>
      <c r="J74" s="24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</row>
    <row r="75" spans="1:61" x14ac:dyDescent="0.25">
      <c r="A75" s="21"/>
      <c r="B75" s="22"/>
      <c r="C75" s="23"/>
      <c r="D75" s="24"/>
      <c r="E75" s="25"/>
      <c r="F75" s="25"/>
      <c r="G75" s="24"/>
      <c r="H75" s="26"/>
      <c r="I75" s="22"/>
      <c r="J75" s="24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</row>
    <row r="76" spans="1:61" x14ac:dyDescent="0.25">
      <c r="A76" s="21"/>
      <c r="B76" s="22"/>
      <c r="C76" s="23"/>
      <c r="D76" s="24"/>
      <c r="E76" s="25"/>
      <c r="F76" s="25"/>
      <c r="G76" s="24"/>
      <c r="H76" s="26"/>
      <c r="I76" s="22"/>
      <c r="J76" s="24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</row>
    <row r="77" spans="1:61" x14ac:dyDescent="0.25">
      <c r="A77" s="21"/>
      <c r="B77" s="22"/>
      <c r="C77" s="23"/>
      <c r="D77" s="24"/>
      <c r="E77" s="25"/>
      <c r="F77" s="25"/>
      <c r="G77" s="24"/>
      <c r="H77" s="26"/>
      <c r="I77" s="22"/>
      <c r="J77" s="24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</row>
    <row r="78" spans="1:61" x14ac:dyDescent="0.25">
      <c r="A78" s="21"/>
      <c r="B78" s="22"/>
      <c r="C78" s="27"/>
      <c r="D78" s="21"/>
      <c r="E78" s="28"/>
      <c r="F78" s="28"/>
      <c r="G78" s="21"/>
      <c r="H78" s="29"/>
      <c r="I78" s="21"/>
      <c r="J78" s="21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</row>
    <row r="79" spans="1:61" x14ac:dyDescent="0.25">
      <c r="A79" s="21"/>
      <c r="B79" s="22"/>
      <c r="C79" s="27"/>
      <c r="D79" s="21"/>
      <c r="E79" s="28"/>
      <c r="F79" s="28"/>
      <c r="G79" s="21"/>
      <c r="H79" s="29"/>
      <c r="I79" s="21"/>
      <c r="J79" s="21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</row>
    <row r="80" spans="1:61" x14ac:dyDescent="0.25">
      <c r="A80" s="21"/>
      <c r="B80" s="22"/>
      <c r="C80" s="27"/>
      <c r="D80" s="21"/>
      <c r="E80" s="28"/>
      <c r="F80" s="28"/>
      <c r="G80" s="21"/>
      <c r="H80" s="29"/>
      <c r="I80" s="21"/>
      <c r="J80" s="21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</row>
    <row r="81" spans="1:61" x14ac:dyDescent="0.25">
      <c r="A81" s="21"/>
      <c r="B81" s="22"/>
      <c r="C81" s="27"/>
      <c r="D81" s="21"/>
      <c r="E81" s="28"/>
      <c r="F81" s="28"/>
      <c r="G81" s="21"/>
      <c r="H81" s="29"/>
      <c r="I81" s="21"/>
      <c r="J81" s="21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</row>
    <row r="82" spans="1:61" x14ac:dyDescent="0.25">
      <c r="A82" s="21"/>
      <c r="B82" s="22"/>
      <c r="C82" s="27"/>
      <c r="D82" s="21"/>
      <c r="E82" s="28"/>
      <c r="F82" s="28"/>
      <c r="G82" s="21"/>
      <c r="H82" s="29"/>
      <c r="I82" s="21"/>
      <c r="J82" s="21"/>
      <c r="K82" s="21"/>
      <c r="L82" s="21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</row>
    <row r="83" spans="1:61" x14ac:dyDescent="0.25">
      <c r="A83" s="21"/>
      <c r="B83" s="22"/>
      <c r="C83" s="27"/>
      <c r="D83" s="21"/>
      <c r="E83" s="28"/>
      <c r="F83" s="28"/>
      <c r="G83" s="21"/>
      <c r="H83" s="29"/>
      <c r="I83" s="21"/>
      <c r="J83" s="21"/>
      <c r="K83" s="21"/>
      <c r="L83" s="21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</row>
    <row r="84" spans="1:61" x14ac:dyDescent="0.25">
      <c r="A84" s="21"/>
      <c r="B84" s="22"/>
      <c r="C84" s="27"/>
      <c r="D84" s="21"/>
      <c r="E84" s="28"/>
      <c r="F84" s="28"/>
      <c r="G84" s="21"/>
      <c r="H84" s="29"/>
      <c r="I84" s="21"/>
      <c r="J84" s="21"/>
      <c r="K84" s="21"/>
      <c r="L84" s="21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</row>
    <row r="85" spans="1:61" x14ac:dyDescent="0.25">
      <c r="A85" s="21"/>
      <c r="B85" s="22"/>
      <c r="C85" s="27"/>
      <c r="D85" s="21"/>
      <c r="E85" s="28"/>
      <c r="F85" s="28"/>
      <c r="G85" s="21"/>
      <c r="H85" s="29"/>
      <c r="I85" s="21"/>
      <c r="J85" s="21"/>
      <c r="K85" s="21"/>
      <c r="L85" s="21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</row>
    <row r="86" spans="1:61" x14ac:dyDescent="0.25">
      <c r="A86" s="21"/>
      <c r="B86" s="21"/>
      <c r="C86" s="27"/>
      <c r="D86" s="21"/>
      <c r="E86" s="28"/>
      <c r="F86" s="28"/>
      <c r="G86" s="21"/>
      <c r="H86" s="29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</row>
    <row r="87" spans="1:61" x14ac:dyDescent="0.25">
      <c r="A87" s="21"/>
      <c r="B87" s="21"/>
      <c r="C87" s="27"/>
      <c r="D87" s="21"/>
      <c r="E87" s="28"/>
      <c r="F87" s="28"/>
      <c r="G87" s="21"/>
      <c r="H87" s="29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</row>
    <row r="88" spans="1:61" x14ac:dyDescent="0.25">
      <c r="A88" s="21"/>
      <c r="B88" s="21"/>
      <c r="C88" s="27"/>
      <c r="D88" s="21"/>
      <c r="E88" s="28"/>
      <c r="F88" s="28"/>
      <c r="G88" s="21"/>
      <c r="H88" s="29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</row>
    <row r="89" spans="1:61" x14ac:dyDescent="0.25">
      <c r="A89" s="21"/>
      <c r="B89" s="21"/>
      <c r="C89" s="27"/>
      <c r="D89" s="21"/>
      <c r="E89" s="28"/>
      <c r="F89" s="28"/>
      <c r="G89" s="21"/>
      <c r="H89" s="29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</row>
    <row r="90" spans="1:61" x14ac:dyDescent="0.25">
      <c r="A90" s="21"/>
      <c r="B90" s="21"/>
      <c r="C90" s="27"/>
      <c r="D90" s="21"/>
      <c r="E90" s="28"/>
      <c r="F90" s="28"/>
      <c r="G90" s="21"/>
      <c r="H90" s="29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</row>
    <row r="91" spans="1:61" x14ac:dyDescent="0.25">
      <c r="A91" s="21"/>
      <c r="B91" s="21"/>
      <c r="C91" s="27"/>
      <c r="D91" s="21"/>
      <c r="E91" s="28"/>
      <c r="F91" s="28"/>
      <c r="G91" s="21"/>
      <c r="H91" s="29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</row>
    <row r="92" spans="1:61" x14ac:dyDescent="0.25">
      <c r="A92" s="21"/>
      <c r="B92" s="21"/>
      <c r="C92" s="27"/>
      <c r="D92" s="21"/>
      <c r="E92" s="28"/>
      <c r="F92" s="28"/>
      <c r="G92" s="21"/>
      <c r="H92" s="29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</row>
    <row r="93" spans="1:61" x14ac:dyDescent="0.25">
      <c r="A93" s="21"/>
      <c r="B93" s="21"/>
      <c r="C93" s="27"/>
      <c r="D93" s="21"/>
      <c r="E93" s="28"/>
      <c r="F93" s="28"/>
      <c r="G93" s="21"/>
      <c r="H93" s="29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</row>
    <row r="94" spans="1:61" x14ac:dyDescent="0.25">
      <c r="A94" s="21"/>
      <c r="B94" s="21"/>
      <c r="C94" s="27"/>
      <c r="D94" s="21"/>
      <c r="E94" s="28"/>
      <c r="F94" s="28"/>
      <c r="G94" s="21"/>
      <c r="H94" s="29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</row>
    <row r="95" spans="1:61" x14ac:dyDescent="0.25">
      <c r="A95" s="21"/>
      <c r="B95" s="21"/>
      <c r="C95" s="27"/>
      <c r="D95" s="21"/>
      <c r="E95" s="28"/>
      <c r="F95" s="28"/>
      <c r="G95" s="21"/>
      <c r="H95" s="29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</row>
    <row r="96" spans="1:61" x14ac:dyDescent="0.25">
      <c r="A96" s="21"/>
      <c r="B96" s="21"/>
      <c r="C96" s="27"/>
      <c r="D96" s="21"/>
      <c r="E96" s="28"/>
      <c r="F96" s="28"/>
      <c r="G96" s="21"/>
      <c r="H96" s="29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</row>
    <row r="97" spans="1:61" x14ac:dyDescent="0.25">
      <c r="A97" s="21"/>
      <c r="B97" s="21"/>
      <c r="C97" s="27"/>
      <c r="D97" s="21"/>
      <c r="E97" s="28"/>
      <c r="F97" s="28"/>
      <c r="G97" s="21"/>
      <c r="H97" s="29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</row>
    <row r="98" spans="1:61" x14ac:dyDescent="0.25">
      <c r="A98" s="21"/>
      <c r="B98" s="21"/>
      <c r="C98" s="27"/>
      <c r="D98" s="21"/>
      <c r="E98" s="28"/>
      <c r="F98" s="28"/>
      <c r="G98" s="21"/>
      <c r="H98" s="29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</row>
    <row r="99" spans="1:61" x14ac:dyDescent="0.25">
      <c r="A99" s="21"/>
      <c r="B99" s="21"/>
      <c r="C99" s="27"/>
      <c r="D99" s="21"/>
      <c r="E99" s="28"/>
      <c r="F99" s="28"/>
      <c r="G99" s="21"/>
      <c r="H99" s="29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</row>
    <row r="100" spans="1:61" x14ac:dyDescent="0.25">
      <c r="A100" s="21"/>
      <c r="B100" s="21"/>
      <c r="C100" s="27"/>
      <c r="D100" s="21"/>
      <c r="E100" s="28"/>
      <c r="F100" s="28"/>
      <c r="G100" s="21"/>
      <c r="H100" s="29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</row>
    <row r="101" spans="1:61" x14ac:dyDescent="0.25">
      <c r="A101" s="21"/>
      <c r="B101" s="21"/>
      <c r="C101" s="27"/>
      <c r="D101" s="21"/>
      <c r="E101" s="28"/>
      <c r="F101" s="28"/>
      <c r="G101" s="21"/>
      <c r="H101" s="29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</row>
    <row r="102" spans="1:61" x14ac:dyDescent="0.25">
      <c r="A102" s="21"/>
      <c r="B102" s="21"/>
      <c r="C102" s="27"/>
      <c r="D102" s="21"/>
      <c r="E102" s="28"/>
      <c r="F102" s="28"/>
      <c r="G102" s="21"/>
      <c r="H102" s="29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</row>
    <row r="103" spans="1:61" x14ac:dyDescent="0.25">
      <c r="A103" s="21"/>
      <c r="B103" s="21"/>
      <c r="C103" s="27"/>
      <c r="D103" s="21"/>
      <c r="E103" s="28"/>
      <c r="F103" s="28"/>
      <c r="G103" s="21"/>
      <c r="H103" s="29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</row>
    <row r="104" spans="1:61" x14ac:dyDescent="0.25">
      <c r="A104" s="21"/>
      <c r="B104" s="21"/>
      <c r="C104" s="27"/>
      <c r="D104" s="21"/>
      <c r="E104" s="28"/>
      <c r="F104" s="28"/>
      <c r="G104" s="21"/>
      <c r="H104" s="29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</row>
    <row r="105" spans="1:61" x14ac:dyDescent="0.25">
      <c r="A105" s="21"/>
      <c r="B105" s="21"/>
      <c r="C105" s="27"/>
      <c r="D105" s="21"/>
      <c r="E105" s="28"/>
      <c r="F105" s="28"/>
      <c r="G105" s="21"/>
      <c r="H105" s="29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</row>
    <row r="106" spans="1:61" x14ac:dyDescent="0.25">
      <c r="A106" s="21"/>
      <c r="B106" s="21"/>
      <c r="C106" s="27"/>
      <c r="D106" s="21"/>
      <c r="E106" s="28"/>
      <c r="F106" s="28"/>
      <c r="G106" s="21"/>
      <c r="H106" s="29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</row>
    <row r="107" spans="1:61" x14ac:dyDescent="0.25">
      <c r="A107" s="21"/>
      <c r="B107" s="21"/>
      <c r="C107" s="27"/>
      <c r="D107" s="21"/>
      <c r="E107" s="28"/>
      <c r="F107" s="28"/>
      <c r="G107" s="21"/>
      <c r="H107" s="29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</row>
    <row r="108" spans="1:61" x14ac:dyDescent="0.25">
      <c r="A108" s="21"/>
      <c r="B108" s="21"/>
      <c r="C108" s="27"/>
      <c r="D108" s="21"/>
      <c r="E108" s="28"/>
      <c r="F108" s="28"/>
      <c r="G108" s="21"/>
      <c r="H108" s="29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</row>
    <row r="109" spans="1:61" x14ac:dyDescent="0.25">
      <c r="A109" s="21"/>
      <c r="B109" s="21"/>
      <c r="C109" s="27"/>
      <c r="D109" s="21"/>
      <c r="E109" s="28"/>
      <c r="F109" s="28"/>
      <c r="G109" s="21"/>
      <c r="H109" s="29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</row>
    <row r="110" spans="1:61" x14ac:dyDescent="0.25">
      <c r="A110" s="21"/>
      <c r="B110" s="21"/>
      <c r="C110" s="27"/>
      <c r="D110" s="21"/>
      <c r="E110" s="28"/>
      <c r="F110" s="28"/>
      <c r="G110" s="21"/>
      <c r="H110" s="29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</row>
    <row r="111" spans="1:61" x14ac:dyDescent="0.25">
      <c r="A111" s="21"/>
      <c r="B111" s="21"/>
      <c r="C111" s="27"/>
      <c r="D111" s="21"/>
      <c r="E111" s="28"/>
      <c r="F111" s="28"/>
      <c r="G111" s="21"/>
      <c r="H111" s="29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</row>
    <row r="112" spans="1:61" x14ac:dyDescent="0.25">
      <c r="A112" s="21"/>
      <c r="B112" s="21"/>
      <c r="C112" s="27"/>
      <c r="D112" s="21"/>
      <c r="E112" s="28"/>
      <c r="F112" s="28"/>
      <c r="G112" s="21"/>
      <c r="H112" s="29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</row>
    <row r="113" spans="1:61" x14ac:dyDescent="0.25">
      <c r="A113" s="21"/>
      <c r="B113" s="21"/>
      <c r="C113" s="27"/>
      <c r="D113" s="21"/>
      <c r="E113" s="28"/>
      <c r="F113" s="28"/>
      <c r="G113" s="21"/>
      <c r="H113" s="29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</row>
    <row r="114" spans="1:61" x14ac:dyDescent="0.25">
      <c r="A114" s="21"/>
      <c r="B114" s="21"/>
      <c r="C114" s="27"/>
      <c r="D114" s="21"/>
      <c r="E114" s="28"/>
      <c r="F114" s="28"/>
      <c r="G114" s="21"/>
      <c r="H114" s="29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</row>
    <row r="115" spans="1:61" x14ac:dyDescent="0.25">
      <c r="A115" s="21"/>
      <c r="B115" s="21"/>
      <c r="C115" s="27"/>
      <c r="D115" s="21"/>
      <c r="E115" s="28"/>
      <c r="F115" s="28"/>
      <c r="G115" s="21"/>
      <c r="H115" s="29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</row>
    <row r="116" spans="1:61" x14ac:dyDescent="0.25">
      <c r="A116" s="21"/>
      <c r="B116" s="21"/>
      <c r="C116" s="27"/>
      <c r="D116" s="21"/>
      <c r="E116" s="28"/>
      <c r="F116" s="28"/>
      <c r="G116" s="21"/>
      <c r="H116" s="29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</row>
    <row r="117" spans="1:61" x14ac:dyDescent="0.25">
      <c r="A117" s="21"/>
      <c r="B117" s="21"/>
      <c r="C117" s="27"/>
      <c r="D117" s="21"/>
      <c r="E117" s="28"/>
      <c r="F117" s="28"/>
      <c r="G117" s="21"/>
      <c r="H117" s="29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</row>
    <row r="118" spans="1:61" x14ac:dyDescent="0.25">
      <c r="A118" s="21"/>
      <c r="B118" s="21"/>
      <c r="C118" s="27"/>
      <c r="D118" s="21"/>
      <c r="E118" s="28"/>
      <c r="F118" s="28"/>
      <c r="G118" s="21"/>
      <c r="H118" s="29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</row>
    <row r="119" spans="1:61" x14ac:dyDescent="0.25">
      <c r="A119" s="21"/>
      <c r="B119" s="21"/>
      <c r="C119" s="27"/>
      <c r="D119" s="21"/>
      <c r="E119" s="28"/>
      <c r="F119" s="28"/>
      <c r="G119" s="21"/>
      <c r="H119" s="29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</row>
    <row r="120" spans="1:61" x14ac:dyDescent="0.25">
      <c r="A120" s="21"/>
      <c r="B120" s="21"/>
      <c r="C120" s="27"/>
      <c r="D120" s="21"/>
      <c r="E120" s="28"/>
      <c r="F120" s="28"/>
      <c r="G120" s="21"/>
      <c r="H120" s="29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</row>
    <row r="121" spans="1:61" x14ac:dyDescent="0.25">
      <c r="A121" s="21"/>
      <c r="B121" s="21"/>
      <c r="C121" s="27"/>
      <c r="D121" s="21"/>
      <c r="E121" s="28"/>
      <c r="F121" s="28"/>
      <c r="G121" s="21"/>
      <c r="H121" s="29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</row>
    <row r="122" spans="1:61" x14ac:dyDescent="0.25">
      <c r="A122" s="21"/>
      <c r="B122" s="21"/>
      <c r="C122" s="27"/>
      <c r="D122" s="21"/>
      <c r="E122" s="28"/>
      <c r="F122" s="28"/>
      <c r="G122" s="21"/>
      <c r="H122" s="29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</row>
    <row r="123" spans="1:61" x14ac:dyDescent="0.25">
      <c r="A123" s="21"/>
      <c r="B123" s="21"/>
      <c r="C123" s="27"/>
      <c r="D123" s="21"/>
      <c r="E123" s="28"/>
      <c r="F123" s="28"/>
      <c r="G123" s="21"/>
      <c r="H123" s="29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</row>
    <row r="124" spans="1:61" x14ac:dyDescent="0.25">
      <c r="A124" s="21"/>
      <c r="B124" s="21"/>
      <c r="C124" s="27"/>
      <c r="D124" s="21"/>
      <c r="E124" s="28"/>
      <c r="F124" s="28"/>
      <c r="G124" s="21"/>
      <c r="H124" s="29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</row>
    <row r="125" spans="1:61" x14ac:dyDescent="0.25">
      <c r="A125" s="21"/>
      <c r="B125" s="21"/>
      <c r="C125" s="27"/>
      <c r="D125" s="21"/>
      <c r="E125" s="28"/>
      <c r="F125" s="28"/>
      <c r="G125" s="21"/>
      <c r="H125" s="29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</row>
    <row r="126" spans="1:61" x14ac:dyDescent="0.25">
      <c r="A126" s="21"/>
      <c r="B126" s="21"/>
      <c r="C126" s="27"/>
      <c r="D126" s="21"/>
      <c r="E126" s="28"/>
      <c r="F126" s="28"/>
      <c r="G126" s="21"/>
      <c r="H126" s="29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</row>
    <row r="127" spans="1:61" x14ac:dyDescent="0.25">
      <c r="A127" s="21"/>
      <c r="B127" s="21"/>
      <c r="C127" s="27"/>
      <c r="D127" s="21"/>
      <c r="E127" s="28"/>
      <c r="F127" s="28"/>
      <c r="G127" s="21"/>
      <c r="H127" s="29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</row>
    <row r="128" spans="1:61" x14ac:dyDescent="0.25">
      <c r="A128" s="21"/>
      <c r="B128" s="21"/>
      <c r="C128" s="27"/>
      <c r="D128" s="21"/>
      <c r="E128" s="28"/>
      <c r="F128" s="28"/>
      <c r="G128" s="21"/>
      <c r="H128" s="29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</row>
    <row r="129" spans="1:61" x14ac:dyDescent="0.25">
      <c r="A129" s="21"/>
      <c r="B129" s="21"/>
      <c r="C129" s="27"/>
      <c r="D129" s="21"/>
      <c r="E129" s="28"/>
      <c r="F129" s="28"/>
      <c r="G129" s="21"/>
      <c r="H129" s="29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</row>
    <row r="130" spans="1:61" x14ac:dyDescent="0.25">
      <c r="A130" s="21"/>
      <c r="B130" s="21"/>
      <c r="C130" s="27"/>
      <c r="D130" s="21"/>
      <c r="E130" s="28"/>
      <c r="F130" s="28"/>
      <c r="G130" s="21"/>
      <c r="H130" s="29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</row>
    <row r="131" spans="1:61" x14ac:dyDescent="0.25">
      <c r="A131" s="21"/>
      <c r="B131" s="21"/>
      <c r="C131" s="27"/>
      <c r="D131" s="21"/>
      <c r="E131" s="28"/>
      <c r="F131" s="28"/>
      <c r="G131" s="21"/>
      <c r="H131" s="29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</row>
    <row r="132" spans="1:61" x14ac:dyDescent="0.25">
      <c r="A132" s="21"/>
      <c r="B132" s="21"/>
      <c r="C132" s="27"/>
      <c r="D132" s="21"/>
      <c r="E132" s="28"/>
      <c r="F132" s="28"/>
      <c r="G132" s="21"/>
      <c r="H132" s="29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</row>
    <row r="133" spans="1:61" x14ac:dyDescent="0.25">
      <c r="A133" s="21"/>
      <c r="B133" s="21"/>
      <c r="C133" s="27"/>
      <c r="D133" s="21"/>
      <c r="E133" s="28"/>
      <c r="F133" s="28"/>
      <c r="G133" s="21"/>
      <c r="H133" s="29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</row>
    <row r="134" spans="1:61" x14ac:dyDescent="0.25">
      <c r="A134" s="21"/>
      <c r="B134" s="21"/>
      <c r="C134" s="27"/>
      <c r="D134" s="21"/>
      <c r="E134" s="28"/>
      <c r="F134" s="28"/>
      <c r="G134" s="21"/>
      <c r="H134" s="29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</row>
    <row r="135" spans="1:61" x14ac:dyDescent="0.25">
      <c r="A135" s="21"/>
      <c r="B135" s="21"/>
      <c r="C135" s="27"/>
      <c r="D135" s="21"/>
      <c r="E135" s="28"/>
      <c r="F135" s="28"/>
      <c r="G135" s="21"/>
      <c r="H135" s="29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</row>
    <row r="136" spans="1:61" x14ac:dyDescent="0.25">
      <c r="A136" s="21"/>
      <c r="B136" s="21"/>
      <c r="C136" s="27"/>
      <c r="D136" s="21"/>
      <c r="E136" s="28"/>
      <c r="F136" s="28"/>
      <c r="G136" s="21"/>
      <c r="H136" s="29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</row>
    <row r="137" spans="1:61" x14ac:dyDescent="0.25">
      <c r="A137" s="21"/>
      <c r="B137" s="21"/>
      <c r="C137" s="27"/>
      <c r="D137" s="21"/>
      <c r="E137" s="28"/>
      <c r="F137" s="28"/>
      <c r="G137" s="21"/>
      <c r="H137" s="29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</row>
    <row r="138" spans="1:61" x14ac:dyDescent="0.25">
      <c r="A138" s="21"/>
      <c r="B138" s="21"/>
      <c r="C138" s="27"/>
      <c r="D138" s="21"/>
      <c r="E138" s="28"/>
      <c r="F138" s="28"/>
      <c r="G138" s="21"/>
      <c r="H138" s="29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</row>
    <row r="139" spans="1:61" x14ac:dyDescent="0.25">
      <c r="A139" s="21"/>
      <c r="B139" s="21"/>
      <c r="C139" s="27"/>
      <c r="D139" s="21"/>
      <c r="E139" s="28"/>
      <c r="F139" s="28"/>
      <c r="G139" s="21"/>
      <c r="H139" s="29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</row>
    <row r="140" spans="1:61" x14ac:dyDescent="0.25">
      <c r="A140" s="21"/>
      <c r="B140" s="21"/>
      <c r="C140" s="27"/>
      <c r="D140" s="21"/>
      <c r="E140" s="28"/>
      <c r="F140" s="28"/>
      <c r="G140" s="21"/>
      <c r="H140" s="29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</row>
    <row r="141" spans="1:61" x14ac:dyDescent="0.25">
      <c r="A141" s="21"/>
      <c r="B141" s="21"/>
      <c r="C141" s="27"/>
      <c r="D141" s="21"/>
      <c r="E141" s="28"/>
      <c r="F141" s="28"/>
      <c r="G141" s="21"/>
      <c r="H141" s="29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</row>
    <row r="142" spans="1:61" x14ac:dyDescent="0.25">
      <c r="A142" s="21"/>
      <c r="B142" s="21"/>
      <c r="C142" s="27"/>
      <c r="D142" s="21"/>
      <c r="E142" s="28"/>
      <c r="F142" s="28"/>
      <c r="G142" s="21"/>
      <c r="H142" s="29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</row>
    <row r="143" spans="1:61" x14ac:dyDescent="0.25">
      <c r="A143" s="21"/>
      <c r="B143" s="21"/>
      <c r="C143" s="27"/>
      <c r="D143" s="21"/>
      <c r="E143" s="28"/>
      <c r="F143" s="28"/>
      <c r="G143" s="21"/>
      <c r="H143" s="29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</row>
    <row r="144" spans="1:61" x14ac:dyDescent="0.25">
      <c r="A144" s="21"/>
      <c r="B144" s="21"/>
      <c r="C144" s="27"/>
      <c r="D144" s="21"/>
      <c r="E144" s="28"/>
      <c r="F144" s="28"/>
      <c r="G144" s="21"/>
      <c r="H144" s="29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</row>
    <row r="145" spans="1:61" x14ac:dyDescent="0.25">
      <c r="A145" s="21"/>
      <c r="B145" s="21"/>
      <c r="C145" s="27"/>
      <c r="D145" s="21"/>
      <c r="E145" s="28"/>
      <c r="F145" s="28"/>
      <c r="G145" s="21"/>
      <c r="H145" s="29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</row>
    <row r="146" spans="1:61" x14ac:dyDescent="0.25">
      <c r="A146" s="21"/>
      <c r="B146" s="21"/>
      <c r="C146" s="27"/>
      <c r="D146" s="21"/>
      <c r="E146" s="28"/>
      <c r="F146" s="28"/>
      <c r="G146" s="21"/>
      <c r="H146" s="29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</row>
    <row r="147" spans="1:61" x14ac:dyDescent="0.25">
      <c r="A147" s="21"/>
      <c r="B147" s="21"/>
      <c r="C147" s="27"/>
      <c r="D147" s="21"/>
      <c r="E147" s="28"/>
      <c r="F147" s="28"/>
      <c r="G147" s="21"/>
      <c r="H147" s="29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</row>
    <row r="148" spans="1:61" x14ac:dyDescent="0.25">
      <c r="A148" s="21"/>
      <c r="B148" s="21"/>
      <c r="C148" s="27"/>
      <c r="D148" s="21"/>
      <c r="E148" s="28"/>
      <c r="F148" s="28"/>
      <c r="G148" s="21"/>
      <c r="H148" s="29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</row>
    <row r="149" spans="1:61" x14ac:dyDescent="0.25">
      <c r="A149" s="21"/>
      <c r="B149" s="21"/>
      <c r="C149" s="27"/>
      <c r="D149" s="21"/>
      <c r="E149" s="28"/>
      <c r="F149" s="28"/>
      <c r="G149" s="21"/>
      <c r="H149" s="29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</row>
    <row r="150" spans="1:61" x14ac:dyDescent="0.25">
      <c r="A150" s="21"/>
      <c r="B150" s="21"/>
      <c r="C150" s="27"/>
      <c r="D150" s="21"/>
      <c r="E150" s="28"/>
      <c r="F150" s="28"/>
      <c r="G150" s="21"/>
      <c r="H150" s="29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</row>
    <row r="151" spans="1:61" x14ac:dyDescent="0.25">
      <c r="A151" s="21"/>
      <c r="B151" s="21"/>
      <c r="C151" s="27"/>
      <c r="D151" s="21"/>
      <c r="E151" s="28"/>
      <c r="F151" s="28"/>
      <c r="G151" s="21"/>
      <c r="H151" s="29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</row>
    <row r="152" spans="1:61" x14ac:dyDescent="0.25">
      <c r="A152" s="21"/>
      <c r="B152" s="21"/>
      <c r="C152" s="27"/>
      <c r="D152" s="21"/>
      <c r="E152" s="28"/>
      <c r="F152" s="28"/>
      <c r="G152" s="21"/>
      <c r="H152" s="29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</row>
    <row r="153" spans="1:61" x14ac:dyDescent="0.25">
      <c r="A153" s="21"/>
      <c r="B153" s="21"/>
      <c r="C153" s="27"/>
      <c r="D153" s="21"/>
      <c r="E153" s="28"/>
      <c r="F153" s="28"/>
      <c r="G153" s="21"/>
      <c r="H153" s="29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</row>
    <row r="154" spans="1:61" x14ac:dyDescent="0.25">
      <c r="A154" s="21"/>
      <c r="B154" s="21"/>
      <c r="C154" s="27"/>
      <c r="D154" s="21"/>
      <c r="E154" s="28"/>
      <c r="F154" s="28"/>
      <c r="G154" s="21"/>
      <c r="H154" s="29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</row>
    <row r="155" spans="1:61" x14ac:dyDescent="0.25">
      <c r="A155" s="21"/>
      <c r="B155" s="21"/>
      <c r="C155" s="27"/>
      <c r="D155" s="21"/>
      <c r="E155" s="28"/>
      <c r="F155" s="28"/>
      <c r="G155" s="21"/>
      <c r="H155" s="29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</row>
    <row r="156" spans="1:61" x14ac:dyDescent="0.25">
      <c r="A156" s="21"/>
      <c r="B156" s="21"/>
      <c r="C156" s="27"/>
      <c r="D156" s="21"/>
      <c r="E156" s="28"/>
      <c r="F156" s="28"/>
      <c r="G156" s="21"/>
      <c r="H156" s="29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</row>
    <row r="157" spans="1:61" x14ac:dyDescent="0.25">
      <c r="A157" s="21"/>
      <c r="B157" s="21"/>
      <c r="C157" s="27"/>
      <c r="D157" s="21"/>
      <c r="E157" s="28"/>
      <c r="F157" s="28"/>
      <c r="G157" s="21"/>
      <c r="H157" s="29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</row>
    <row r="158" spans="1:61" x14ac:dyDescent="0.25">
      <c r="A158" s="21"/>
      <c r="B158" s="21"/>
      <c r="C158" s="27"/>
      <c r="D158" s="21"/>
      <c r="E158" s="28"/>
      <c r="F158" s="28"/>
      <c r="G158" s="21"/>
      <c r="H158" s="29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</row>
    <row r="159" spans="1:61" x14ac:dyDescent="0.25">
      <c r="A159" s="21"/>
      <c r="B159" s="21"/>
      <c r="C159" s="27"/>
      <c r="D159" s="21"/>
      <c r="E159" s="28"/>
      <c r="F159" s="28"/>
      <c r="G159" s="21"/>
      <c r="H159" s="29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</row>
    <row r="160" spans="1:61" x14ac:dyDescent="0.25">
      <c r="A160" s="21"/>
      <c r="B160" s="21"/>
      <c r="C160" s="27"/>
      <c r="D160" s="21"/>
      <c r="E160" s="28"/>
      <c r="F160" s="28"/>
      <c r="G160" s="21"/>
      <c r="H160" s="29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</row>
    <row r="161" spans="1:61" x14ac:dyDescent="0.25">
      <c r="A161" s="21"/>
      <c r="B161" s="21"/>
      <c r="C161" s="27"/>
      <c r="D161" s="21"/>
      <c r="E161" s="28"/>
      <c r="F161" s="28"/>
      <c r="G161" s="21"/>
      <c r="H161" s="29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</row>
    <row r="162" spans="1:61" x14ac:dyDescent="0.25">
      <c r="A162" s="21"/>
      <c r="B162" s="21"/>
      <c r="C162" s="27"/>
      <c r="D162" s="21"/>
      <c r="E162" s="28"/>
      <c r="F162" s="28"/>
      <c r="G162" s="21"/>
      <c r="H162" s="29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</row>
    <row r="163" spans="1:61" x14ac:dyDescent="0.25">
      <c r="A163" s="21"/>
      <c r="B163" s="21"/>
      <c r="C163" s="27"/>
      <c r="D163" s="21"/>
      <c r="E163" s="28"/>
      <c r="F163" s="28"/>
      <c r="G163" s="21"/>
      <c r="H163" s="29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</row>
    <row r="164" spans="1:61" x14ac:dyDescent="0.25">
      <c r="A164" s="21"/>
      <c r="B164" s="21"/>
      <c r="C164" s="27"/>
      <c r="D164" s="21"/>
      <c r="E164" s="28"/>
      <c r="F164" s="28"/>
      <c r="G164" s="21"/>
      <c r="H164" s="29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</row>
    <row r="165" spans="1:61" x14ac:dyDescent="0.25">
      <c r="A165" s="21"/>
      <c r="B165" s="21"/>
      <c r="C165" s="27"/>
      <c r="D165" s="21"/>
      <c r="E165" s="28"/>
      <c r="F165" s="28"/>
      <c r="G165" s="21"/>
      <c r="H165" s="29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</row>
    <row r="166" spans="1:61" x14ac:dyDescent="0.25">
      <c r="A166" s="21"/>
      <c r="B166" s="21"/>
      <c r="C166" s="27"/>
      <c r="D166" s="21"/>
      <c r="E166" s="28"/>
      <c r="F166" s="28"/>
      <c r="G166" s="21"/>
      <c r="H166" s="29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</row>
    <row r="167" spans="1:61" x14ac:dyDescent="0.25">
      <c r="A167" s="21"/>
      <c r="B167" s="21"/>
      <c r="C167" s="27"/>
      <c r="D167" s="21"/>
      <c r="E167" s="28"/>
      <c r="F167" s="28"/>
      <c r="G167" s="21"/>
      <c r="H167" s="29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</row>
    <row r="168" spans="1:61" x14ac:dyDescent="0.25">
      <c r="A168" s="21"/>
      <c r="B168" s="21"/>
      <c r="C168" s="27"/>
      <c r="D168" s="21"/>
      <c r="E168" s="28"/>
      <c r="F168" s="28"/>
      <c r="G168" s="21"/>
      <c r="H168" s="29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</row>
    <row r="169" spans="1:61" x14ac:dyDescent="0.25">
      <c r="A169" s="21"/>
      <c r="B169" s="21"/>
      <c r="C169" s="27"/>
      <c r="D169" s="21"/>
      <c r="E169" s="28"/>
      <c r="F169" s="28"/>
      <c r="G169" s="21"/>
      <c r="H169" s="29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</row>
    <row r="170" spans="1:61" x14ac:dyDescent="0.25">
      <c r="A170" s="21"/>
      <c r="B170" s="21"/>
      <c r="C170" s="27"/>
      <c r="D170" s="21"/>
      <c r="E170" s="28"/>
      <c r="F170" s="28"/>
      <c r="G170" s="21"/>
      <c r="H170" s="29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</row>
    <row r="171" spans="1:61" x14ac:dyDescent="0.25">
      <c r="A171" s="21"/>
      <c r="B171" s="21"/>
      <c r="C171" s="27"/>
      <c r="D171" s="21"/>
      <c r="E171" s="28"/>
      <c r="F171" s="28"/>
      <c r="G171" s="21"/>
      <c r="H171" s="29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</row>
    <row r="172" spans="1:61" x14ac:dyDescent="0.25">
      <c r="A172" s="21"/>
      <c r="B172" s="21"/>
      <c r="C172" s="27"/>
      <c r="D172" s="21"/>
      <c r="E172" s="28"/>
      <c r="F172" s="28"/>
      <c r="G172" s="21"/>
      <c r="H172" s="29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</row>
    <row r="173" spans="1:61" x14ac:dyDescent="0.25">
      <c r="A173" s="21"/>
      <c r="B173" s="21"/>
      <c r="C173" s="27"/>
      <c r="D173" s="21"/>
      <c r="E173" s="28"/>
      <c r="F173" s="28"/>
      <c r="G173" s="21"/>
      <c r="H173" s="29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</row>
    <row r="174" spans="1:61" x14ac:dyDescent="0.25">
      <c r="A174" s="21"/>
      <c r="B174" s="21"/>
      <c r="C174" s="27"/>
      <c r="D174" s="21"/>
      <c r="E174" s="28"/>
      <c r="F174" s="28"/>
      <c r="G174" s="21"/>
      <c r="H174" s="29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</row>
    <row r="175" spans="1:61" x14ac:dyDescent="0.25">
      <c r="A175" s="21"/>
      <c r="B175" s="21"/>
      <c r="C175" s="27"/>
      <c r="D175" s="21"/>
      <c r="E175" s="28"/>
      <c r="F175" s="28"/>
      <c r="G175" s="21"/>
      <c r="H175" s="29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</row>
    <row r="176" spans="1:61" x14ac:dyDescent="0.25">
      <c r="A176" s="21"/>
      <c r="B176" s="21"/>
      <c r="C176" s="27"/>
      <c r="D176" s="21"/>
      <c r="E176" s="28"/>
      <c r="F176" s="28"/>
      <c r="G176" s="21"/>
      <c r="H176" s="29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</row>
    <row r="177" spans="1:61" x14ac:dyDescent="0.25">
      <c r="A177" s="21"/>
      <c r="B177" s="21"/>
      <c r="C177" s="27"/>
      <c r="D177" s="21"/>
      <c r="E177" s="28"/>
      <c r="F177" s="28"/>
      <c r="G177" s="21"/>
      <c r="H177" s="29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</row>
    <row r="178" spans="1:61" x14ac:dyDescent="0.25">
      <c r="A178" s="21"/>
      <c r="B178" s="21"/>
      <c r="C178" s="27"/>
      <c r="D178" s="21"/>
      <c r="E178" s="28"/>
      <c r="F178" s="28"/>
      <c r="G178" s="21"/>
      <c r="H178" s="29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</row>
    <row r="179" spans="1:61" x14ac:dyDescent="0.25">
      <c r="A179" s="21"/>
      <c r="B179" s="21"/>
      <c r="C179" s="27"/>
      <c r="D179" s="21"/>
      <c r="E179" s="28"/>
      <c r="F179" s="28"/>
      <c r="G179" s="21"/>
      <c r="H179" s="29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</row>
    <row r="180" spans="1:61" x14ac:dyDescent="0.25">
      <c r="A180" s="21"/>
      <c r="B180" s="21"/>
      <c r="C180" s="27"/>
      <c r="D180" s="21"/>
      <c r="E180" s="28"/>
      <c r="F180" s="28"/>
      <c r="G180" s="21"/>
      <c r="H180" s="29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</row>
    <row r="181" spans="1:61" x14ac:dyDescent="0.25">
      <c r="A181" s="21"/>
      <c r="B181" s="21"/>
      <c r="C181" s="27"/>
      <c r="D181" s="21"/>
      <c r="E181" s="28"/>
      <c r="F181" s="28"/>
      <c r="G181" s="21"/>
      <c r="H181" s="29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</row>
    <row r="182" spans="1:61" x14ac:dyDescent="0.25">
      <c r="A182" s="21"/>
      <c r="B182" s="21"/>
      <c r="C182" s="27"/>
      <c r="D182" s="21"/>
      <c r="E182" s="28"/>
      <c r="F182" s="28"/>
      <c r="G182" s="21"/>
      <c r="H182" s="29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</row>
    <row r="183" spans="1:61" x14ac:dyDescent="0.25">
      <c r="A183" s="21"/>
      <c r="B183" s="21"/>
      <c r="C183" s="27"/>
      <c r="D183" s="21"/>
      <c r="E183" s="28"/>
      <c r="F183" s="28"/>
      <c r="G183" s="21"/>
      <c r="H183" s="29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</row>
    <row r="184" spans="1:61" x14ac:dyDescent="0.25">
      <c r="A184" s="21"/>
      <c r="B184" s="21"/>
      <c r="C184" s="27"/>
      <c r="D184" s="21"/>
      <c r="E184" s="28"/>
      <c r="F184" s="28"/>
      <c r="G184" s="21"/>
      <c r="H184" s="29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</row>
    <row r="185" spans="1:61" x14ac:dyDescent="0.25">
      <c r="A185" s="21"/>
      <c r="B185" s="21"/>
      <c r="C185" s="27"/>
      <c r="D185" s="21"/>
      <c r="E185" s="28"/>
      <c r="F185" s="28"/>
      <c r="G185" s="21"/>
      <c r="H185" s="29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</row>
    <row r="186" spans="1:61" x14ac:dyDescent="0.25">
      <c r="A186" s="21"/>
      <c r="B186" s="21"/>
      <c r="C186" s="27"/>
      <c r="D186" s="21"/>
      <c r="E186" s="28"/>
      <c r="F186" s="28"/>
      <c r="G186" s="21"/>
      <c r="H186" s="29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</row>
    <row r="187" spans="1:61" x14ac:dyDescent="0.25">
      <c r="A187" s="21"/>
      <c r="B187" s="21"/>
      <c r="C187" s="27"/>
      <c r="D187" s="21"/>
      <c r="E187" s="28"/>
      <c r="F187" s="28"/>
      <c r="G187" s="21"/>
      <c r="H187" s="29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</row>
    <row r="188" spans="1:61" x14ac:dyDescent="0.25">
      <c r="A188" s="21"/>
      <c r="B188" s="21"/>
      <c r="C188" s="27"/>
      <c r="D188" s="21"/>
      <c r="E188" s="28"/>
      <c r="F188" s="28"/>
      <c r="G188" s="21"/>
      <c r="H188" s="29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</row>
    <row r="189" spans="1:61" x14ac:dyDescent="0.25">
      <c r="A189" s="21"/>
      <c r="B189" s="21"/>
      <c r="C189" s="27"/>
      <c r="D189" s="21"/>
      <c r="E189" s="28"/>
      <c r="F189" s="28"/>
      <c r="G189" s="21"/>
      <c r="H189" s="29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</row>
    <row r="190" spans="1:61" x14ac:dyDescent="0.25">
      <c r="A190" s="21"/>
      <c r="B190" s="21"/>
      <c r="C190" s="27"/>
      <c r="D190" s="21"/>
      <c r="E190" s="28"/>
      <c r="F190" s="28"/>
      <c r="G190" s="21"/>
      <c r="H190" s="29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</row>
    <row r="191" spans="1:61" x14ac:dyDescent="0.25">
      <c r="A191" s="21"/>
      <c r="B191" s="21"/>
      <c r="C191" s="27"/>
      <c r="D191" s="21"/>
      <c r="E191" s="28"/>
      <c r="F191" s="28"/>
      <c r="G191" s="21"/>
      <c r="H191" s="29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</row>
    <row r="192" spans="1:61" x14ac:dyDescent="0.25">
      <c r="A192" s="21"/>
      <c r="B192" s="21"/>
      <c r="C192" s="27"/>
      <c r="D192" s="21"/>
      <c r="E192" s="28"/>
      <c r="F192" s="28"/>
      <c r="G192" s="21"/>
      <c r="H192" s="29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</row>
    <row r="193" spans="1:61" x14ac:dyDescent="0.25">
      <c r="A193" s="21"/>
      <c r="B193" s="21"/>
      <c r="C193" s="27"/>
      <c r="D193" s="21"/>
      <c r="E193" s="28"/>
      <c r="F193" s="28"/>
      <c r="G193" s="21"/>
      <c r="H193" s="29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</row>
    <row r="194" spans="1:61" x14ac:dyDescent="0.25">
      <c r="A194" s="21"/>
      <c r="B194" s="21"/>
      <c r="C194" s="27"/>
      <c r="D194" s="21"/>
      <c r="E194" s="28"/>
      <c r="F194" s="28"/>
      <c r="G194" s="21"/>
      <c r="H194" s="29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</row>
    <row r="195" spans="1:61" x14ac:dyDescent="0.25">
      <c r="A195" s="21"/>
      <c r="B195" s="21"/>
      <c r="C195" s="27"/>
      <c r="D195" s="21"/>
      <c r="E195" s="28"/>
      <c r="F195" s="28"/>
      <c r="G195" s="21"/>
      <c r="H195" s="29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</row>
    <row r="196" spans="1:61" x14ac:dyDescent="0.25">
      <c r="A196" s="21"/>
      <c r="B196" s="21"/>
      <c r="C196" s="27"/>
      <c r="D196" s="21"/>
      <c r="E196" s="28"/>
      <c r="F196" s="28"/>
      <c r="G196" s="21"/>
      <c r="H196" s="29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</row>
    <row r="197" spans="1:61" x14ac:dyDescent="0.25">
      <c r="A197" s="21"/>
      <c r="B197" s="21"/>
      <c r="C197" s="27"/>
      <c r="D197" s="21"/>
      <c r="E197" s="28"/>
      <c r="F197" s="28"/>
      <c r="G197" s="21"/>
      <c r="H197" s="29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</row>
    <row r="198" spans="1:61" x14ac:dyDescent="0.25">
      <c r="A198" s="21"/>
      <c r="B198" s="21"/>
      <c r="C198" s="27"/>
      <c r="D198" s="21"/>
      <c r="E198" s="28"/>
      <c r="F198" s="28"/>
      <c r="G198" s="21"/>
      <c r="H198" s="29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</row>
    <row r="199" spans="1:61" x14ac:dyDescent="0.25">
      <c r="A199" s="21"/>
      <c r="B199" s="21"/>
      <c r="C199" s="27"/>
      <c r="D199" s="21"/>
      <c r="E199" s="28"/>
      <c r="F199" s="28"/>
      <c r="G199" s="21"/>
      <c r="H199" s="29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</row>
    <row r="200" spans="1:61" x14ac:dyDescent="0.25">
      <c r="A200" s="21"/>
      <c r="B200" s="21"/>
      <c r="C200" s="27"/>
      <c r="D200" s="21"/>
      <c r="E200" s="28"/>
      <c r="F200" s="28"/>
      <c r="G200" s="21"/>
      <c r="H200" s="29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</row>
    <row r="201" spans="1:61" x14ac:dyDescent="0.25">
      <c r="A201" s="21"/>
      <c r="B201" s="21"/>
      <c r="C201" s="27"/>
      <c r="D201" s="21"/>
      <c r="E201" s="28"/>
      <c r="F201" s="28"/>
      <c r="G201" s="21"/>
      <c r="H201" s="29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</row>
    <row r="202" spans="1:61" x14ac:dyDescent="0.25">
      <c r="A202" s="21"/>
      <c r="B202" s="21"/>
      <c r="C202" s="27"/>
      <c r="D202" s="21"/>
      <c r="E202" s="28"/>
      <c r="F202" s="28"/>
      <c r="G202" s="21"/>
      <c r="H202" s="29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</row>
    <row r="203" spans="1:61" x14ac:dyDescent="0.25">
      <c r="A203" s="21"/>
      <c r="B203" s="21"/>
      <c r="C203" s="27"/>
      <c r="D203" s="21"/>
      <c r="E203" s="28"/>
      <c r="F203" s="28"/>
      <c r="G203" s="21"/>
      <c r="H203" s="29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</row>
    <row r="204" spans="1:61" x14ac:dyDescent="0.25">
      <c r="A204" s="21"/>
      <c r="B204" s="21"/>
      <c r="C204" s="27"/>
      <c r="D204" s="21"/>
      <c r="E204" s="28"/>
      <c r="F204" s="28"/>
      <c r="G204" s="21"/>
      <c r="H204" s="29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</row>
    <row r="205" spans="1:61" x14ac:dyDescent="0.25">
      <c r="A205" s="21"/>
      <c r="B205" s="21"/>
      <c r="C205" s="27"/>
      <c r="D205" s="21"/>
      <c r="E205" s="28"/>
      <c r="F205" s="28"/>
      <c r="G205" s="21"/>
      <c r="H205" s="29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</row>
    <row r="206" spans="1:61" x14ac:dyDescent="0.25">
      <c r="A206" s="21"/>
      <c r="B206" s="21"/>
      <c r="C206" s="27"/>
      <c r="D206" s="21"/>
      <c r="E206" s="28"/>
      <c r="F206" s="28"/>
      <c r="G206" s="21"/>
      <c r="H206" s="29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</row>
    <row r="207" spans="1:61" x14ac:dyDescent="0.25">
      <c r="A207" s="21"/>
      <c r="B207" s="21"/>
      <c r="C207" s="27"/>
      <c r="D207" s="21"/>
      <c r="E207" s="28"/>
      <c r="F207" s="28"/>
      <c r="G207" s="21"/>
      <c r="H207" s="29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</row>
    <row r="208" spans="1:61" x14ac:dyDescent="0.25">
      <c r="A208" s="21"/>
      <c r="B208" s="21"/>
      <c r="C208" s="27"/>
      <c r="D208" s="21"/>
      <c r="E208" s="28"/>
      <c r="F208" s="28"/>
      <c r="G208" s="21"/>
      <c r="H208" s="29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</row>
    <row r="209" spans="1:61" x14ac:dyDescent="0.25">
      <c r="A209" s="21"/>
      <c r="B209" s="21"/>
      <c r="C209" s="27"/>
      <c r="D209" s="21"/>
      <c r="E209" s="28"/>
      <c r="F209" s="28"/>
      <c r="G209" s="21"/>
      <c r="H209" s="29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</row>
    <row r="210" spans="1:61" x14ac:dyDescent="0.25">
      <c r="A210" s="21"/>
      <c r="B210" s="21"/>
      <c r="C210" s="27"/>
      <c r="D210" s="21"/>
      <c r="E210" s="28"/>
      <c r="F210" s="28"/>
      <c r="G210" s="21"/>
      <c r="H210" s="29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</row>
    <row r="211" spans="1:61" x14ac:dyDescent="0.25">
      <c r="A211" s="21"/>
      <c r="B211" s="21"/>
      <c r="C211" s="27"/>
      <c r="D211" s="21"/>
      <c r="E211" s="28"/>
      <c r="F211" s="28"/>
      <c r="G211" s="21"/>
      <c r="H211" s="29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</row>
    <row r="212" spans="1:61" x14ac:dyDescent="0.25">
      <c r="A212" s="21"/>
      <c r="B212" s="21"/>
      <c r="C212" s="27"/>
      <c r="D212" s="21"/>
      <c r="E212" s="28"/>
      <c r="F212" s="28"/>
      <c r="G212" s="21"/>
      <c r="H212" s="29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</row>
    <row r="213" spans="1:61" x14ac:dyDescent="0.25">
      <c r="A213" s="21"/>
      <c r="B213" s="21"/>
      <c r="C213" s="27"/>
      <c r="D213" s="21"/>
      <c r="E213" s="28"/>
      <c r="F213" s="28"/>
      <c r="G213" s="21"/>
      <c r="H213" s="29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</row>
    <row r="214" spans="1:61" x14ac:dyDescent="0.25">
      <c r="A214" s="21"/>
      <c r="B214" s="21"/>
      <c r="C214" s="27"/>
      <c r="D214" s="21"/>
      <c r="E214" s="28"/>
      <c r="F214" s="28"/>
      <c r="G214" s="21"/>
      <c r="H214" s="29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</row>
    <row r="215" spans="1:61" x14ac:dyDescent="0.25">
      <c r="A215" s="21"/>
      <c r="B215" s="21"/>
      <c r="C215" s="27"/>
      <c r="D215" s="21"/>
      <c r="E215" s="28"/>
      <c r="F215" s="28"/>
      <c r="G215" s="21"/>
      <c r="H215" s="29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</row>
    <row r="216" spans="1:61" x14ac:dyDescent="0.25">
      <c r="A216" s="21"/>
      <c r="B216" s="21"/>
      <c r="C216" s="27"/>
      <c r="D216" s="21"/>
      <c r="E216" s="28"/>
      <c r="F216" s="28"/>
      <c r="G216" s="21"/>
      <c r="H216" s="29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</row>
    <row r="217" spans="1:61" x14ac:dyDescent="0.25">
      <c r="A217" s="21"/>
      <c r="B217" s="21"/>
      <c r="C217" s="27"/>
      <c r="D217" s="21"/>
      <c r="E217" s="28"/>
      <c r="F217" s="28"/>
      <c r="G217" s="21"/>
      <c r="H217" s="29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</row>
    <row r="218" spans="1:61" x14ac:dyDescent="0.25">
      <c r="A218" s="21"/>
      <c r="B218" s="21"/>
      <c r="C218" s="27"/>
      <c r="D218" s="21"/>
      <c r="E218" s="28"/>
      <c r="F218" s="28"/>
      <c r="G218" s="21"/>
      <c r="H218" s="29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</row>
    <row r="219" spans="1:61" x14ac:dyDescent="0.25">
      <c r="A219" s="21"/>
      <c r="B219" s="21"/>
      <c r="C219" s="27"/>
      <c r="D219" s="21"/>
      <c r="E219" s="28"/>
      <c r="F219" s="28"/>
      <c r="G219" s="21"/>
      <c r="H219" s="29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</row>
    <row r="220" spans="1:61" x14ac:dyDescent="0.25">
      <c r="A220" s="21"/>
      <c r="B220" s="21"/>
      <c r="C220" s="27"/>
      <c r="D220" s="21"/>
      <c r="E220" s="28"/>
      <c r="F220" s="28"/>
      <c r="G220" s="21"/>
      <c r="H220" s="29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</row>
    <row r="221" spans="1:61" x14ac:dyDescent="0.25">
      <c r="A221" s="21"/>
      <c r="B221" s="21"/>
      <c r="C221" s="27"/>
      <c r="D221" s="21"/>
      <c r="E221" s="28"/>
      <c r="F221" s="28"/>
      <c r="G221" s="21"/>
      <c r="H221" s="29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</row>
    <row r="222" spans="1:61" x14ac:dyDescent="0.25">
      <c r="A222" s="21"/>
      <c r="B222" s="21"/>
      <c r="C222" s="27"/>
      <c r="D222" s="21"/>
      <c r="E222" s="28"/>
      <c r="F222" s="28"/>
      <c r="G222" s="21"/>
      <c r="H222" s="29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</row>
    <row r="223" spans="1:61" x14ac:dyDescent="0.25">
      <c r="A223" s="21"/>
      <c r="B223" s="21"/>
      <c r="C223" s="27"/>
      <c r="D223" s="21"/>
      <c r="E223" s="28"/>
      <c r="F223" s="28"/>
      <c r="G223" s="21"/>
      <c r="H223" s="29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</row>
    <row r="224" spans="1:61" x14ac:dyDescent="0.25">
      <c r="A224" s="21"/>
      <c r="B224" s="21"/>
      <c r="C224" s="27"/>
      <c r="D224" s="21"/>
      <c r="E224" s="28"/>
      <c r="F224" s="28"/>
      <c r="G224" s="21"/>
      <c r="H224" s="29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</row>
    <row r="225" spans="1:61" x14ac:dyDescent="0.25">
      <c r="A225" s="21"/>
      <c r="B225" s="21"/>
      <c r="C225" s="27"/>
      <c r="D225" s="21"/>
      <c r="E225" s="28"/>
      <c r="F225" s="28"/>
      <c r="G225" s="21"/>
      <c r="H225" s="29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</row>
    <row r="226" spans="1:61" x14ac:dyDescent="0.25">
      <c r="A226" s="21"/>
      <c r="B226" s="21"/>
      <c r="C226" s="27"/>
      <c r="D226" s="21"/>
      <c r="E226" s="28"/>
      <c r="F226" s="28"/>
      <c r="G226" s="21"/>
      <c r="H226" s="29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</row>
    <row r="227" spans="1:61" x14ac:dyDescent="0.25">
      <c r="A227" s="21"/>
      <c r="B227" s="21"/>
      <c r="C227" s="27"/>
      <c r="D227" s="21"/>
      <c r="E227" s="28"/>
      <c r="F227" s="28"/>
      <c r="G227" s="21"/>
      <c r="H227" s="29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</row>
    <row r="228" spans="1:61" x14ac:dyDescent="0.25">
      <c r="A228" s="21"/>
      <c r="B228" s="21"/>
      <c r="C228" s="27"/>
      <c r="D228" s="21"/>
      <c r="E228" s="28"/>
      <c r="F228" s="28"/>
      <c r="G228" s="21"/>
      <c r="H228" s="29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</row>
    <row r="229" spans="1:61" x14ac:dyDescent="0.25">
      <c r="A229" s="21"/>
      <c r="B229" s="21"/>
      <c r="C229" s="27"/>
      <c r="D229" s="21"/>
      <c r="E229" s="28"/>
      <c r="F229" s="28"/>
      <c r="G229" s="21"/>
      <c r="H229" s="29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</row>
    <row r="230" spans="1:61" x14ac:dyDescent="0.25">
      <c r="A230" s="21"/>
      <c r="B230" s="21"/>
      <c r="C230" s="27"/>
      <c r="D230" s="21"/>
      <c r="E230" s="28"/>
      <c r="F230" s="28"/>
      <c r="G230" s="21"/>
      <c r="H230" s="29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</row>
    <row r="231" spans="1:61" x14ac:dyDescent="0.25">
      <c r="A231" s="21"/>
      <c r="B231" s="21"/>
      <c r="C231" s="27"/>
      <c r="D231" s="21"/>
      <c r="E231" s="28"/>
      <c r="F231" s="28"/>
      <c r="G231" s="21"/>
      <c r="H231" s="29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</row>
    <row r="232" spans="1:61" x14ac:dyDescent="0.25">
      <c r="A232" s="21"/>
      <c r="B232" s="21"/>
      <c r="C232" s="27"/>
      <c r="D232" s="21"/>
      <c r="E232" s="28"/>
      <c r="F232" s="28"/>
      <c r="G232" s="21"/>
      <c r="H232" s="29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</row>
    <row r="233" spans="1:61" x14ac:dyDescent="0.25">
      <c r="A233" s="21"/>
      <c r="B233" s="21"/>
      <c r="C233" s="27"/>
      <c r="D233" s="21"/>
      <c r="E233" s="28"/>
      <c r="F233" s="28"/>
      <c r="G233" s="21"/>
      <c r="H233" s="29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</row>
    <row r="234" spans="1:61" x14ac:dyDescent="0.25">
      <c r="A234" s="21"/>
      <c r="B234" s="21"/>
      <c r="C234" s="27"/>
      <c r="D234" s="21"/>
      <c r="E234" s="28"/>
      <c r="F234" s="28"/>
      <c r="G234" s="21"/>
      <c r="H234" s="29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</row>
    <row r="235" spans="1:61" x14ac:dyDescent="0.25">
      <c r="A235" s="21"/>
      <c r="B235" s="21"/>
      <c r="C235" s="27"/>
      <c r="D235" s="21"/>
      <c r="E235" s="28"/>
      <c r="F235" s="28"/>
      <c r="G235" s="21"/>
      <c r="H235" s="29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</row>
    <row r="236" spans="1:61" x14ac:dyDescent="0.25">
      <c r="A236" s="21"/>
      <c r="B236" s="21"/>
      <c r="C236" s="27"/>
      <c r="D236" s="21"/>
      <c r="E236" s="28"/>
      <c r="F236" s="28"/>
      <c r="G236" s="21"/>
      <c r="H236" s="29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</row>
    <row r="237" spans="1:61" x14ac:dyDescent="0.25">
      <c r="A237" s="21"/>
      <c r="B237" s="21"/>
      <c r="C237" s="27"/>
      <c r="D237" s="21"/>
      <c r="E237" s="28"/>
      <c r="F237" s="28"/>
      <c r="G237" s="21"/>
      <c r="H237" s="29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</row>
    <row r="238" spans="1:61" x14ac:dyDescent="0.25">
      <c r="A238" s="21"/>
      <c r="B238" s="21"/>
      <c r="C238" s="27"/>
      <c r="D238" s="21"/>
      <c r="E238" s="28"/>
      <c r="F238" s="28"/>
      <c r="G238" s="21"/>
      <c r="H238" s="29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</row>
    <row r="239" spans="1:61" x14ac:dyDescent="0.25">
      <c r="A239" s="21"/>
      <c r="B239" s="21"/>
      <c r="C239" s="27"/>
      <c r="D239" s="21"/>
      <c r="E239" s="28"/>
      <c r="F239" s="28"/>
      <c r="G239" s="21"/>
      <c r="H239" s="29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</row>
    <row r="240" spans="1:61" x14ac:dyDescent="0.25">
      <c r="A240" s="21"/>
      <c r="B240" s="21"/>
      <c r="C240" s="27"/>
      <c r="D240" s="21"/>
      <c r="E240" s="28"/>
      <c r="F240" s="28"/>
      <c r="G240" s="21"/>
      <c r="H240" s="29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</row>
    <row r="241" spans="1:61" x14ac:dyDescent="0.25">
      <c r="A241" s="21"/>
      <c r="B241" s="21"/>
      <c r="C241" s="27"/>
      <c r="D241" s="21"/>
      <c r="E241" s="28"/>
      <c r="F241" s="28"/>
      <c r="G241" s="21"/>
      <c r="H241" s="29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</row>
    <row r="242" spans="1:61" x14ac:dyDescent="0.25">
      <c r="A242" s="21"/>
      <c r="B242" s="21"/>
      <c r="C242" s="27"/>
      <c r="D242" s="21"/>
      <c r="E242" s="28"/>
      <c r="F242" s="28"/>
      <c r="G242" s="21"/>
      <c r="H242" s="29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</row>
    <row r="243" spans="1:61" x14ac:dyDescent="0.25">
      <c r="A243" s="21"/>
      <c r="B243" s="21"/>
      <c r="C243" s="27"/>
      <c r="D243" s="21"/>
      <c r="E243" s="28"/>
      <c r="F243" s="28"/>
      <c r="G243" s="21"/>
      <c r="H243" s="29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</row>
    <row r="244" spans="1:61" x14ac:dyDescent="0.25">
      <c r="A244" s="21"/>
      <c r="B244" s="21"/>
      <c r="C244" s="27"/>
      <c r="D244" s="21"/>
      <c r="E244" s="28"/>
      <c r="F244" s="28"/>
      <c r="G244" s="21"/>
      <c r="H244" s="29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</row>
    <row r="245" spans="1:61" x14ac:dyDescent="0.25">
      <c r="A245" s="21"/>
      <c r="B245" s="21"/>
      <c r="C245" s="27"/>
      <c r="D245" s="21"/>
      <c r="E245" s="28"/>
      <c r="F245" s="28"/>
      <c r="G245" s="21"/>
      <c r="H245" s="29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</row>
    <row r="246" spans="1:61" x14ac:dyDescent="0.25">
      <c r="A246" s="21"/>
      <c r="B246" s="21"/>
      <c r="C246" s="27"/>
      <c r="D246" s="21"/>
      <c r="E246" s="28"/>
      <c r="F246" s="28"/>
      <c r="G246" s="21"/>
      <c r="H246" s="29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</row>
    <row r="247" spans="1:61" x14ac:dyDescent="0.25">
      <c r="A247" s="21"/>
      <c r="B247" s="21"/>
      <c r="C247" s="27"/>
      <c r="D247" s="21"/>
      <c r="E247" s="28"/>
      <c r="F247" s="28"/>
      <c r="G247" s="21"/>
      <c r="H247" s="29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</row>
    <row r="248" spans="1:61" x14ac:dyDescent="0.25">
      <c r="A248" s="21"/>
      <c r="B248" s="21"/>
      <c r="C248" s="27"/>
      <c r="D248" s="21"/>
      <c r="E248" s="28"/>
      <c r="F248" s="28"/>
      <c r="G248" s="21"/>
      <c r="H248" s="29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</row>
    <row r="249" spans="1:61" x14ac:dyDescent="0.25">
      <c r="A249" s="21"/>
      <c r="B249" s="21"/>
      <c r="C249" s="27"/>
      <c r="D249" s="21"/>
      <c r="E249" s="28"/>
      <c r="F249" s="28"/>
      <c r="G249" s="21"/>
      <c r="H249" s="29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</row>
    <row r="250" spans="1:61" x14ac:dyDescent="0.25">
      <c r="A250" s="21"/>
      <c r="B250" s="21"/>
      <c r="C250" s="27"/>
      <c r="D250" s="21"/>
      <c r="E250" s="28"/>
      <c r="F250" s="28"/>
      <c r="G250" s="21"/>
      <c r="H250" s="29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</row>
    <row r="251" spans="1:61" x14ac:dyDescent="0.25">
      <c r="A251" s="21"/>
      <c r="B251" s="21"/>
      <c r="C251" s="27"/>
      <c r="D251" s="21"/>
      <c r="E251" s="28"/>
      <c r="F251" s="28"/>
      <c r="G251" s="21"/>
      <c r="H251" s="29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</row>
    <row r="252" spans="1:61" x14ac:dyDescent="0.25">
      <c r="A252" s="21"/>
      <c r="B252" s="21"/>
      <c r="C252" s="27"/>
      <c r="D252" s="21"/>
      <c r="E252" s="28"/>
      <c r="F252" s="28"/>
      <c r="G252" s="21"/>
      <c r="H252" s="29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</row>
    <row r="253" spans="1:61" x14ac:dyDescent="0.25">
      <c r="A253" s="21"/>
      <c r="B253" s="21"/>
      <c r="C253" s="27"/>
      <c r="D253" s="21"/>
      <c r="E253" s="28"/>
      <c r="F253" s="28"/>
      <c r="G253" s="21"/>
      <c r="H253" s="29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</row>
    <row r="254" spans="1:61" x14ac:dyDescent="0.25">
      <c r="A254" s="21"/>
      <c r="B254" s="21"/>
      <c r="C254" s="27"/>
      <c r="D254" s="21"/>
      <c r="E254" s="28"/>
      <c r="F254" s="28"/>
      <c r="G254" s="21"/>
      <c r="H254" s="29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</row>
    <row r="255" spans="1:61" x14ac:dyDescent="0.25">
      <c r="A255" s="21"/>
      <c r="B255" s="21"/>
      <c r="C255" s="27"/>
      <c r="D255" s="21"/>
      <c r="E255" s="28"/>
      <c r="F255" s="28"/>
      <c r="G255" s="21"/>
      <c r="H255" s="29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</row>
    <row r="256" spans="1:61" x14ac:dyDescent="0.25">
      <c r="A256" s="21"/>
      <c r="B256" s="21"/>
      <c r="C256" s="27"/>
      <c r="D256" s="21"/>
      <c r="E256" s="28"/>
      <c r="F256" s="28"/>
      <c r="G256" s="21"/>
      <c r="H256" s="29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</row>
    <row r="257" spans="1:61" x14ac:dyDescent="0.25">
      <c r="A257" s="21"/>
      <c r="B257" s="21"/>
      <c r="C257" s="27"/>
      <c r="D257" s="21"/>
      <c r="E257" s="28"/>
      <c r="F257" s="28"/>
      <c r="G257" s="21"/>
      <c r="H257" s="29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</row>
    <row r="258" spans="1:61" x14ac:dyDescent="0.25">
      <c r="A258" s="21"/>
      <c r="B258" s="21"/>
      <c r="C258" s="27"/>
      <c r="D258" s="21"/>
      <c r="E258" s="28"/>
      <c r="F258" s="28"/>
      <c r="G258" s="21"/>
      <c r="H258" s="29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</row>
    <row r="259" spans="1:61" x14ac:dyDescent="0.25">
      <c r="A259" s="21"/>
      <c r="B259" s="21"/>
      <c r="C259" s="27"/>
      <c r="D259" s="21"/>
      <c r="E259" s="28"/>
      <c r="F259" s="28"/>
      <c r="G259" s="21"/>
      <c r="H259" s="29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</row>
    <row r="260" spans="1:61" x14ac:dyDescent="0.25">
      <c r="A260" s="21"/>
      <c r="B260" s="21"/>
      <c r="C260" s="27"/>
      <c r="D260" s="21"/>
      <c r="E260" s="28"/>
      <c r="F260" s="28"/>
      <c r="G260" s="21"/>
      <c r="H260" s="29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</row>
    <row r="261" spans="1:61" x14ac:dyDescent="0.25">
      <c r="A261" s="21"/>
      <c r="B261" s="21"/>
      <c r="C261" s="27"/>
      <c r="D261" s="21"/>
      <c r="E261" s="28"/>
      <c r="F261" s="28"/>
      <c r="G261" s="21"/>
      <c r="H261" s="29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</row>
    <row r="262" spans="1:61" x14ac:dyDescent="0.25">
      <c r="A262" s="21"/>
      <c r="B262" s="21"/>
      <c r="C262" s="27"/>
      <c r="D262" s="21"/>
      <c r="E262" s="28"/>
      <c r="F262" s="28"/>
      <c r="G262" s="21"/>
      <c r="H262" s="29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</row>
    <row r="263" spans="1:61" x14ac:dyDescent="0.25">
      <c r="A263" s="21"/>
      <c r="B263" s="21"/>
      <c r="C263" s="27"/>
      <c r="D263" s="21"/>
      <c r="E263" s="28"/>
      <c r="F263" s="28"/>
      <c r="G263" s="21"/>
      <c r="H263" s="29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</row>
    <row r="264" spans="1:61" x14ac:dyDescent="0.25">
      <c r="A264" s="21"/>
      <c r="B264" s="21"/>
      <c r="C264" s="27"/>
      <c r="D264" s="21"/>
      <c r="E264" s="28"/>
      <c r="F264" s="28"/>
      <c r="G264" s="21"/>
      <c r="H264" s="29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</row>
    <row r="265" spans="1:61" x14ac:dyDescent="0.25">
      <c r="A265" s="21"/>
      <c r="B265" s="21"/>
      <c r="C265" s="27"/>
      <c r="D265" s="21"/>
      <c r="E265" s="28"/>
      <c r="F265" s="28"/>
      <c r="G265" s="21"/>
      <c r="H265" s="29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</row>
    <row r="266" spans="1:61" x14ac:dyDescent="0.25">
      <c r="A266" s="21"/>
      <c r="B266" s="21"/>
      <c r="C266" s="27"/>
      <c r="D266" s="21"/>
      <c r="E266" s="28"/>
      <c r="F266" s="28"/>
      <c r="G266" s="21"/>
      <c r="H266" s="29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</row>
    <row r="267" spans="1:61" x14ac:dyDescent="0.25">
      <c r="A267" s="21"/>
      <c r="B267" s="21"/>
      <c r="C267" s="27"/>
      <c r="D267" s="21"/>
      <c r="E267" s="28"/>
      <c r="F267" s="28"/>
      <c r="G267" s="21"/>
      <c r="H267" s="29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</row>
    <row r="268" spans="1:61" x14ac:dyDescent="0.25">
      <c r="A268" s="21"/>
      <c r="B268" s="21"/>
      <c r="C268" s="27"/>
      <c r="D268" s="21"/>
      <c r="E268" s="28"/>
      <c r="F268" s="28"/>
      <c r="G268" s="21"/>
      <c r="H268" s="29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</row>
    <row r="269" spans="1:61" x14ac:dyDescent="0.25">
      <c r="A269" s="21"/>
      <c r="B269" s="21"/>
      <c r="C269" s="27"/>
      <c r="D269" s="21"/>
      <c r="E269" s="28"/>
      <c r="F269" s="28"/>
      <c r="G269" s="21"/>
      <c r="H269" s="29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</row>
    <row r="270" spans="1:61" x14ac:dyDescent="0.25">
      <c r="A270" s="21"/>
      <c r="B270" s="21"/>
      <c r="C270" s="27"/>
      <c r="D270" s="21"/>
      <c r="E270" s="28"/>
      <c r="F270" s="28"/>
      <c r="G270" s="21"/>
      <c r="H270" s="29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</row>
    <row r="271" spans="1:61" x14ac:dyDescent="0.25">
      <c r="A271" s="21"/>
      <c r="B271" s="21"/>
      <c r="C271" s="27"/>
      <c r="D271" s="21"/>
      <c r="E271" s="28"/>
      <c r="F271" s="28"/>
      <c r="G271" s="21"/>
      <c r="H271" s="29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</row>
    <row r="272" spans="1:61" x14ac:dyDescent="0.25">
      <c r="A272" s="21"/>
      <c r="B272" s="21"/>
      <c r="C272" s="27"/>
      <c r="D272" s="21"/>
      <c r="E272" s="28"/>
      <c r="F272" s="28"/>
      <c r="G272" s="21"/>
      <c r="H272" s="29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</row>
    <row r="273" spans="1:61" x14ac:dyDescent="0.25">
      <c r="A273" s="21"/>
      <c r="B273" s="21"/>
      <c r="C273" s="27"/>
      <c r="D273" s="21"/>
      <c r="E273" s="28"/>
      <c r="F273" s="28"/>
      <c r="G273" s="21"/>
      <c r="H273" s="29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</row>
    <row r="274" spans="1:61" x14ac:dyDescent="0.25">
      <c r="A274" s="21"/>
      <c r="B274" s="21"/>
      <c r="C274" s="27"/>
      <c r="D274" s="21"/>
      <c r="E274" s="28"/>
      <c r="F274" s="28"/>
      <c r="G274" s="21"/>
      <c r="H274" s="29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</row>
    <row r="275" spans="1:61" x14ac:dyDescent="0.25">
      <c r="A275" s="21"/>
      <c r="B275" s="21"/>
      <c r="C275" s="27"/>
      <c r="D275" s="21"/>
      <c r="E275" s="28"/>
      <c r="F275" s="28"/>
      <c r="G275" s="21"/>
      <c r="H275" s="29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</row>
    <row r="276" spans="1:61" x14ac:dyDescent="0.25">
      <c r="A276" s="21"/>
      <c r="B276" s="21"/>
      <c r="C276" s="27"/>
      <c r="D276" s="21"/>
      <c r="E276" s="28"/>
      <c r="F276" s="28"/>
      <c r="G276" s="21"/>
      <c r="H276" s="29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</row>
    <row r="277" spans="1:61" x14ac:dyDescent="0.25">
      <c r="A277" s="21"/>
      <c r="B277" s="21"/>
      <c r="C277" s="27"/>
      <c r="D277" s="21"/>
      <c r="E277" s="28"/>
      <c r="F277" s="28"/>
      <c r="G277" s="21"/>
      <c r="H277" s="29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</row>
    <row r="278" spans="1:61" x14ac:dyDescent="0.25">
      <c r="A278" s="21"/>
      <c r="B278" s="21"/>
      <c r="C278" s="27"/>
      <c r="D278" s="21"/>
      <c r="E278" s="28"/>
      <c r="F278" s="28"/>
      <c r="G278" s="21"/>
      <c r="H278" s="29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</row>
    <row r="279" spans="1:61" x14ac:dyDescent="0.25">
      <c r="A279" s="21"/>
      <c r="B279" s="21"/>
      <c r="C279" s="27"/>
      <c r="D279" s="21"/>
      <c r="E279" s="28"/>
      <c r="F279" s="28"/>
      <c r="G279" s="21"/>
      <c r="H279" s="29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</row>
    <row r="280" spans="1:61" x14ac:dyDescent="0.25">
      <c r="A280" s="21"/>
      <c r="B280" s="21"/>
      <c r="C280" s="27"/>
      <c r="D280" s="21"/>
      <c r="E280" s="28"/>
      <c r="F280" s="28"/>
      <c r="G280" s="21"/>
      <c r="H280" s="29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</row>
    <row r="281" spans="1:61" x14ac:dyDescent="0.25">
      <c r="A281" s="21"/>
      <c r="B281" s="21"/>
      <c r="C281" s="27"/>
      <c r="D281" s="21"/>
      <c r="E281" s="28"/>
      <c r="F281" s="28"/>
      <c r="G281" s="21"/>
      <c r="H281" s="29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</row>
    <row r="282" spans="1:61" x14ac:dyDescent="0.25">
      <c r="A282" s="21"/>
      <c r="B282" s="21"/>
      <c r="C282" s="27"/>
      <c r="D282" s="21"/>
      <c r="E282" s="28"/>
      <c r="F282" s="28"/>
      <c r="G282" s="21"/>
      <c r="H282" s="29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</row>
    <row r="283" spans="1:61" x14ac:dyDescent="0.25">
      <c r="A283" s="21"/>
      <c r="B283" s="21"/>
      <c r="C283" s="27"/>
      <c r="D283" s="21"/>
      <c r="E283" s="28"/>
      <c r="F283" s="28"/>
      <c r="G283" s="21"/>
      <c r="H283" s="29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</row>
    <row r="284" spans="1:61" x14ac:dyDescent="0.25">
      <c r="A284" s="21"/>
      <c r="B284" s="21"/>
      <c r="C284" s="27"/>
      <c r="D284" s="21"/>
      <c r="E284" s="28"/>
      <c r="F284" s="28"/>
      <c r="G284" s="21"/>
      <c r="H284" s="29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</row>
    <row r="285" spans="1:61" x14ac:dyDescent="0.25">
      <c r="A285" s="21"/>
      <c r="B285" s="21"/>
      <c r="C285" s="27"/>
      <c r="D285" s="21"/>
      <c r="E285" s="28"/>
      <c r="F285" s="28"/>
      <c r="G285" s="21"/>
      <c r="H285" s="29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</row>
    <row r="286" spans="1:61" x14ac:dyDescent="0.25">
      <c r="A286" s="21"/>
      <c r="B286" s="21"/>
      <c r="C286" s="27"/>
      <c r="D286" s="21"/>
      <c r="E286" s="28"/>
      <c r="F286" s="28"/>
      <c r="G286" s="21"/>
      <c r="H286" s="29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</row>
    <row r="287" spans="1:61" x14ac:dyDescent="0.25">
      <c r="A287" s="21"/>
      <c r="B287" s="21"/>
      <c r="C287" s="27"/>
      <c r="D287" s="21"/>
      <c r="E287" s="28"/>
      <c r="F287" s="28"/>
      <c r="G287" s="21"/>
      <c r="H287" s="29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</row>
    <row r="288" spans="1:61" x14ac:dyDescent="0.25">
      <c r="A288" s="21"/>
      <c r="B288" s="21"/>
      <c r="C288" s="27"/>
      <c r="D288" s="21"/>
      <c r="E288" s="28"/>
      <c r="F288" s="28"/>
      <c r="G288" s="21"/>
      <c r="H288" s="29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</row>
    <row r="289" spans="1:61" x14ac:dyDescent="0.25">
      <c r="A289" s="21"/>
      <c r="B289" s="21"/>
      <c r="C289" s="27"/>
      <c r="D289" s="21"/>
      <c r="E289" s="28"/>
      <c r="F289" s="28"/>
      <c r="G289" s="21"/>
      <c r="H289" s="29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</row>
    <row r="290" spans="1:61" x14ac:dyDescent="0.25">
      <c r="A290" s="21"/>
      <c r="B290" s="21"/>
      <c r="C290" s="27"/>
      <c r="D290" s="21"/>
      <c r="E290" s="28"/>
      <c r="F290" s="28"/>
      <c r="G290" s="21"/>
      <c r="H290" s="29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</row>
    <row r="291" spans="1:61" x14ac:dyDescent="0.25">
      <c r="A291" s="21"/>
      <c r="B291" s="21"/>
      <c r="C291" s="27"/>
      <c r="D291" s="21"/>
      <c r="E291" s="28"/>
      <c r="F291" s="28"/>
      <c r="G291" s="21"/>
      <c r="H291" s="29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</row>
    <row r="292" spans="1:61" x14ac:dyDescent="0.25">
      <c r="A292" s="21"/>
      <c r="B292" s="21"/>
      <c r="C292" s="27"/>
      <c r="D292" s="21"/>
      <c r="E292" s="28"/>
      <c r="F292" s="28"/>
      <c r="G292" s="21"/>
      <c r="H292" s="29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</row>
    <row r="293" spans="1:61" x14ac:dyDescent="0.25">
      <c r="A293" s="21"/>
      <c r="B293" s="21"/>
      <c r="C293" s="27"/>
      <c r="D293" s="21"/>
      <c r="E293" s="28"/>
      <c r="F293" s="28"/>
      <c r="G293" s="21"/>
      <c r="H293" s="29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</row>
    <row r="294" spans="1:61" x14ac:dyDescent="0.25">
      <c r="A294" s="21"/>
      <c r="B294" s="21"/>
      <c r="C294" s="27"/>
      <c r="D294" s="21"/>
      <c r="E294" s="28"/>
      <c r="F294" s="28"/>
      <c r="G294" s="21"/>
      <c r="H294" s="29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</row>
    <row r="295" spans="1:61" x14ac:dyDescent="0.25">
      <c r="A295" s="21"/>
      <c r="B295" s="21"/>
      <c r="C295" s="27"/>
      <c r="D295" s="21"/>
      <c r="E295" s="28"/>
      <c r="F295" s="28"/>
      <c r="G295" s="21"/>
      <c r="H295" s="29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</row>
    <row r="296" spans="1:61" x14ac:dyDescent="0.25">
      <c r="A296" s="21"/>
      <c r="B296" s="21"/>
      <c r="C296" s="27"/>
      <c r="D296" s="21"/>
      <c r="E296" s="28"/>
      <c r="F296" s="28"/>
      <c r="G296" s="21"/>
      <c r="H296" s="29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</row>
    <row r="297" spans="1:61" x14ac:dyDescent="0.25">
      <c r="A297" s="21"/>
      <c r="B297" s="21"/>
      <c r="C297" s="27"/>
      <c r="D297" s="21"/>
      <c r="E297" s="28"/>
      <c r="F297" s="28"/>
      <c r="G297" s="21"/>
      <c r="H297" s="29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</row>
    <row r="298" spans="1:61" x14ac:dyDescent="0.25">
      <c r="A298" s="21"/>
      <c r="B298" s="21"/>
      <c r="C298" s="27"/>
      <c r="D298" s="21"/>
      <c r="E298" s="28"/>
      <c r="F298" s="28"/>
      <c r="G298" s="21"/>
      <c r="H298" s="29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</row>
    <row r="299" spans="1:61" x14ac:dyDescent="0.25">
      <c r="A299" s="21"/>
      <c r="B299" s="21"/>
      <c r="C299" s="27"/>
      <c r="D299" s="21"/>
      <c r="E299" s="28"/>
      <c r="F299" s="28"/>
      <c r="G299" s="21"/>
      <c r="H299" s="29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</row>
    <row r="300" spans="1:61" x14ac:dyDescent="0.25">
      <c r="A300" s="21"/>
      <c r="B300" s="21"/>
      <c r="C300" s="27"/>
      <c r="D300" s="21"/>
      <c r="E300" s="28"/>
      <c r="F300" s="28"/>
      <c r="G300" s="21"/>
      <c r="H300" s="29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</row>
    <row r="301" spans="1:61" x14ac:dyDescent="0.25">
      <c r="A301" s="21"/>
      <c r="B301" s="21"/>
      <c r="C301" s="27"/>
      <c r="D301" s="21"/>
      <c r="E301" s="28"/>
      <c r="F301" s="28"/>
      <c r="G301" s="21"/>
      <c r="H301" s="29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</row>
    <row r="302" spans="1:61" x14ac:dyDescent="0.25">
      <c r="A302" s="21"/>
      <c r="B302" s="21"/>
      <c r="C302" s="27"/>
      <c r="D302" s="21"/>
      <c r="E302" s="28"/>
      <c r="F302" s="28"/>
      <c r="G302" s="21"/>
      <c r="H302" s="29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</row>
    <row r="303" spans="1:61" x14ac:dyDescent="0.25">
      <c r="A303" s="21"/>
      <c r="B303" s="21"/>
      <c r="C303" s="27"/>
      <c r="D303" s="21"/>
      <c r="E303" s="28"/>
      <c r="F303" s="28"/>
      <c r="G303" s="21"/>
      <c r="H303" s="29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</row>
    <row r="304" spans="1:61" x14ac:dyDescent="0.25">
      <c r="A304" s="21"/>
      <c r="B304" s="21"/>
      <c r="C304" s="27"/>
      <c r="D304" s="21"/>
      <c r="E304" s="28"/>
      <c r="F304" s="28"/>
      <c r="G304" s="21"/>
      <c r="H304" s="29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</row>
    <row r="305" spans="1:61" x14ac:dyDescent="0.25">
      <c r="A305" s="21"/>
      <c r="B305" s="21"/>
      <c r="C305" s="27"/>
      <c r="D305" s="21"/>
      <c r="E305" s="28"/>
      <c r="F305" s="28"/>
      <c r="G305" s="21"/>
      <c r="H305" s="29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</row>
    <row r="306" spans="1:61" x14ac:dyDescent="0.25">
      <c r="A306" s="21"/>
      <c r="B306" s="21"/>
      <c r="C306" s="27"/>
      <c r="D306" s="21"/>
      <c r="E306" s="28"/>
      <c r="F306" s="28"/>
      <c r="G306" s="21"/>
      <c r="H306" s="29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</row>
    <row r="307" spans="1:61" x14ac:dyDescent="0.25">
      <c r="A307" s="21"/>
      <c r="B307" s="21"/>
      <c r="C307" s="27"/>
      <c r="D307" s="21"/>
      <c r="E307" s="28"/>
      <c r="F307" s="28"/>
      <c r="G307" s="21"/>
      <c r="H307" s="29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</row>
    <row r="308" spans="1:61" x14ac:dyDescent="0.25">
      <c r="A308" s="21"/>
      <c r="B308" s="21"/>
      <c r="C308" s="27"/>
      <c r="D308" s="21"/>
      <c r="E308" s="28"/>
      <c r="F308" s="28"/>
      <c r="G308" s="21"/>
      <c r="H308" s="29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</row>
    <row r="309" spans="1:61" x14ac:dyDescent="0.25">
      <c r="A309" s="21"/>
      <c r="B309" s="21"/>
      <c r="C309" s="27"/>
      <c r="D309" s="21"/>
      <c r="E309" s="28"/>
      <c r="F309" s="28"/>
      <c r="G309" s="21"/>
      <c r="H309" s="29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</row>
    <row r="310" spans="1:61" x14ac:dyDescent="0.25">
      <c r="A310" s="21"/>
      <c r="B310" s="21"/>
      <c r="C310" s="27"/>
      <c r="D310" s="21"/>
      <c r="E310" s="28"/>
      <c r="F310" s="28"/>
      <c r="G310" s="21"/>
      <c r="H310" s="29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</row>
    <row r="311" spans="1:61" x14ac:dyDescent="0.25">
      <c r="A311" s="21"/>
      <c r="B311" s="21"/>
      <c r="C311" s="27"/>
      <c r="D311" s="21"/>
      <c r="E311" s="28"/>
      <c r="F311" s="28"/>
      <c r="G311" s="21"/>
      <c r="H311" s="29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</row>
    <row r="312" spans="1:61" x14ac:dyDescent="0.25">
      <c r="A312" s="21"/>
      <c r="B312" s="21"/>
      <c r="C312" s="27"/>
      <c r="D312" s="21"/>
      <c r="E312" s="28"/>
      <c r="F312" s="28"/>
      <c r="G312" s="21"/>
      <c r="H312" s="29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</row>
    <row r="313" spans="1:61" x14ac:dyDescent="0.25">
      <c r="A313" s="21"/>
      <c r="B313" s="21"/>
      <c r="C313" s="27"/>
      <c r="D313" s="21"/>
      <c r="E313" s="28"/>
      <c r="F313" s="28"/>
      <c r="G313" s="21"/>
      <c r="H313" s="29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</row>
    <row r="314" spans="1:61" x14ac:dyDescent="0.25">
      <c r="A314" s="21"/>
      <c r="B314" s="21"/>
      <c r="C314" s="27"/>
      <c r="D314" s="21"/>
      <c r="E314" s="28"/>
      <c r="F314" s="28"/>
      <c r="G314" s="21"/>
      <c r="H314" s="29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</row>
    <row r="315" spans="1:61" x14ac:dyDescent="0.25">
      <c r="A315" s="21"/>
      <c r="B315" s="21"/>
      <c r="C315" s="27"/>
      <c r="D315" s="21"/>
      <c r="E315" s="28"/>
      <c r="F315" s="28"/>
      <c r="G315" s="21"/>
      <c r="H315" s="29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</row>
    <row r="316" spans="1:61" x14ac:dyDescent="0.25">
      <c r="A316" s="21"/>
      <c r="B316" s="21"/>
      <c r="C316" s="27"/>
      <c r="D316" s="21"/>
      <c r="E316" s="28"/>
      <c r="F316" s="28"/>
      <c r="G316" s="21"/>
      <c r="H316" s="29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</row>
    <row r="317" spans="1:61" x14ac:dyDescent="0.25">
      <c r="A317" s="21"/>
      <c r="B317" s="21"/>
      <c r="C317" s="27"/>
      <c r="D317" s="21"/>
      <c r="E317" s="28"/>
      <c r="F317" s="28"/>
      <c r="G317" s="21"/>
      <c r="H317" s="29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</row>
    <row r="318" spans="1:61" x14ac:dyDescent="0.25">
      <c r="A318" s="21"/>
      <c r="B318" s="21"/>
      <c r="C318" s="27"/>
      <c r="D318" s="21"/>
      <c r="E318" s="28"/>
      <c r="F318" s="28"/>
      <c r="G318" s="21"/>
      <c r="H318" s="29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</row>
    <row r="319" spans="1:61" x14ac:dyDescent="0.25">
      <c r="A319" s="21"/>
      <c r="B319" s="21"/>
      <c r="C319" s="27"/>
      <c r="D319" s="21"/>
      <c r="E319" s="28"/>
      <c r="F319" s="28"/>
      <c r="G319" s="21"/>
      <c r="H319" s="29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</row>
    <row r="320" spans="1:61" x14ac:dyDescent="0.25">
      <c r="A320" s="21"/>
      <c r="B320" s="21"/>
      <c r="C320" s="27"/>
      <c r="D320" s="21"/>
      <c r="E320" s="28"/>
      <c r="F320" s="28"/>
      <c r="G320" s="21"/>
      <c r="H320" s="29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</row>
    <row r="321" spans="1:61" x14ac:dyDescent="0.25">
      <c r="A321" s="21"/>
      <c r="B321" s="21"/>
      <c r="C321" s="27"/>
      <c r="D321" s="21"/>
      <c r="E321" s="28"/>
      <c r="F321" s="28"/>
      <c r="G321" s="21"/>
      <c r="H321" s="29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</row>
    <row r="322" spans="1:61" x14ac:dyDescent="0.25">
      <c r="A322" s="21"/>
      <c r="B322" s="21"/>
      <c r="C322" s="27"/>
      <c r="D322" s="21"/>
      <c r="E322" s="28"/>
      <c r="F322" s="28"/>
      <c r="G322" s="21"/>
      <c r="H322" s="29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</row>
    <row r="323" spans="1:61" x14ac:dyDescent="0.25">
      <c r="A323" s="21"/>
      <c r="B323" s="21"/>
      <c r="C323" s="27"/>
      <c r="D323" s="21"/>
      <c r="E323" s="28"/>
      <c r="F323" s="28"/>
      <c r="G323" s="21"/>
      <c r="H323" s="29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</row>
    <row r="324" spans="1:61" x14ac:dyDescent="0.25">
      <c r="A324" s="21"/>
      <c r="B324" s="21"/>
      <c r="C324" s="27"/>
      <c r="D324" s="21"/>
      <c r="E324" s="28"/>
      <c r="F324" s="28"/>
      <c r="G324" s="21"/>
      <c r="H324" s="29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</row>
    <row r="325" spans="1:61" x14ac:dyDescent="0.25">
      <c r="A325" s="21"/>
      <c r="B325" s="21"/>
      <c r="C325" s="27"/>
      <c r="D325" s="21"/>
      <c r="E325" s="28"/>
      <c r="F325" s="28"/>
      <c r="G325" s="21"/>
      <c r="H325" s="29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</row>
    <row r="326" spans="1:61" x14ac:dyDescent="0.25">
      <c r="A326" s="21"/>
      <c r="B326" s="21"/>
      <c r="C326" s="27"/>
      <c r="D326" s="21"/>
      <c r="E326" s="28"/>
      <c r="F326" s="28"/>
      <c r="G326" s="21"/>
      <c r="H326" s="29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</row>
    <row r="327" spans="1:61" x14ac:dyDescent="0.25">
      <c r="A327" s="21"/>
      <c r="B327" s="21"/>
      <c r="C327" s="27"/>
      <c r="D327" s="21"/>
      <c r="E327" s="28"/>
      <c r="F327" s="28"/>
      <c r="G327" s="21"/>
      <c r="H327" s="29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</row>
    <row r="328" spans="1:61" x14ac:dyDescent="0.25">
      <c r="A328" s="21"/>
      <c r="B328" s="21"/>
      <c r="C328" s="27"/>
      <c r="D328" s="21"/>
      <c r="E328" s="28"/>
      <c r="F328" s="28"/>
      <c r="G328" s="21"/>
      <c r="H328" s="29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</row>
    <row r="329" spans="1:61" x14ac:dyDescent="0.25">
      <c r="A329" s="21"/>
      <c r="B329" s="21"/>
      <c r="C329" s="27"/>
      <c r="D329" s="21"/>
      <c r="E329" s="28"/>
      <c r="F329" s="28"/>
      <c r="G329" s="21"/>
      <c r="H329" s="29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</row>
    <row r="330" spans="1:61" x14ac:dyDescent="0.25">
      <c r="A330" s="21"/>
      <c r="B330" s="21"/>
      <c r="C330" s="27"/>
      <c r="D330" s="21"/>
      <c r="E330" s="28"/>
      <c r="F330" s="28"/>
      <c r="G330" s="21"/>
      <c r="H330" s="29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</row>
    <row r="331" spans="1:61" x14ac:dyDescent="0.25">
      <c r="A331" s="21"/>
      <c r="B331" s="21"/>
      <c r="C331" s="27"/>
      <c r="D331" s="21"/>
      <c r="E331" s="28"/>
      <c r="F331" s="28"/>
      <c r="G331" s="21"/>
      <c r="H331" s="29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</row>
    <row r="332" spans="1:61" x14ac:dyDescent="0.25">
      <c r="A332" s="21"/>
      <c r="B332" s="21"/>
      <c r="C332" s="27"/>
      <c r="D332" s="21"/>
      <c r="E332" s="28"/>
      <c r="F332" s="28"/>
      <c r="G332" s="21"/>
      <c r="H332" s="29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</row>
    <row r="333" spans="1:61" x14ac:dyDescent="0.25">
      <c r="A333" s="21"/>
      <c r="B333" s="21"/>
      <c r="C333" s="27"/>
      <c r="D333" s="21"/>
      <c r="E333" s="28"/>
      <c r="F333" s="28"/>
      <c r="G333" s="21"/>
      <c r="H333" s="29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</row>
    <row r="334" spans="1:61" x14ac:dyDescent="0.25">
      <c r="A334" s="21"/>
      <c r="B334" s="21"/>
      <c r="C334" s="27"/>
      <c r="D334" s="21"/>
      <c r="E334" s="28"/>
      <c r="F334" s="28"/>
      <c r="G334" s="21"/>
      <c r="H334" s="29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</row>
    <row r="335" spans="1:61" x14ac:dyDescent="0.25">
      <c r="A335" s="21"/>
      <c r="B335" s="21"/>
      <c r="C335" s="27"/>
      <c r="D335" s="21"/>
      <c r="E335" s="28"/>
      <c r="F335" s="28"/>
      <c r="G335" s="21"/>
      <c r="H335" s="29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</row>
    <row r="336" spans="1:61" x14ac:dyDescent="0.25">
      <c r="A336" s="21"/>
      <c r="B336" s="21"/>
      <c r="C336" s="27"/>
      <c r="D336" s="21"/>
      <c r="E336" s="28"/>
      <c r="F336" s="28"/>
      <c r="G336" s="21"/>
      <c r="H336" s="29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</row>
    <row r="337" spans="1:61" x14ac:dyDescent="0.25">
      <c r="A337" s="21"/>
      <c r="B337" s="21"/>
      <c r="C337" s="27"/>
      <c r="D337" s="21"/>
      <c r="E337" s="28"/>
      <c r="F337" s="28"/>
      <c r="G337" s="21"/>
      <c r="H337" s="29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</row>
    <row r="338" spans="1:61" x14ac:dyDescent="0.25">
      <c r="A338" s="21"/>
      <c r="B338" s="21"/>
      <c r="C338" s="27"/>
      <c r="D338" s="21"/>
      <c r="E338" s="28"/>
      <c r="F338" s="28"/>
      <c r="G338" s="21"/>
      <c r="H338" s="29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</row>
    <row r="339" spans="1:61" x14ac:dyDescent="0.25">
      <c r="A339" s="21"/>
      <c r="B339" s="21"/>
      <c r="C339" s="27"/>
      <c r="D339" s="21"/>
      <c r="E339" s="28"/>
      <c r="F339" s="28"/>
      <c r="G339" s="21"/>
      <c r="H339" s="29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</row>
    <row r="340" spans="1:61" x14ac:dyDescent="0.25">
      <c r="A340" s="21"/>
      <c r="B340" s="21"/>
      <c r="C340" s="27"/>
      <c r="D340" s="21"/>
      <c r="E340" s="28"/>
      <c r="F340" s="28"/>
      <c r="G340" s="21"/>
      <c r="H340" s="29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</row>
    <row r="341" spans="1:61" x14ac:dyDescent="0.25">
      <c r="A341" s="21"/>
      <c r="B341" s="21"/>
      <c r="C341" s="27"/>
      <c r="D341" s="21"/>
      <c r="E341" s="28"/>
      <c r="F341" s="28"/>
      <c r="G341" s="21"/>
      <c r="H341" s="29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</row>
    <row r="342" spans="1:61" x14ac:dyDescent="0.25">
      <c r="A342" s="21"/>
      <c r="B342" s="21"/>
      <c r="C342" s="27"/>
      <c r="D342" s="21"/>
      <c r="E342" s="28"/>
      <c r="F342" s="28"/>
      <c r="G342" s="21"/>
      <c r="H342" s="29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</row>
    <row r="343" spans="1:61" x14ac:dyDescent="0.25">
      <c r="A343" s="21"/>
      <c r="B343" s="21"/>
      <c r="C343" s="27"/>
      <c r="D343" s="21"/>
      <c r="E343" s="28"/>
      <c r="F343" s="28"/>
      <c r="G343" s="21"/>
      <c r="H343" s="29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</row>
    <row r="344" spans="1:61" x14ac:dyDescent="0.25">
      <c r="A344" s="21"/>
      <c r="B344" s="21"/>
      <c r="C344" s="27"/>
      <c r="D344" s="21"/>
      <c r="E344" s="28"/>
      <c r="F344" s="28"/>
      <c r="G344" s="21"/>
      <c r="H344" s="29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</row>
    <row r="345" spans="1:61" x14ac:dyDescent="0.25">
      <c r="A345" s="21"/>
      <c r="B345" s="21"/>
      <c r="C345" s="27"/>
      <c r="D345" s="21"/>
      <c r="E345" s="28"/>
      <c r="F345" s="28"/>
      <c r="G345" s="21"/>
      <c r="H345" s="29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</row>
    <row r="346" spans="1:61" x14ac:dyDescent="0.25">
      <c r="A346" s="21"/>
      <c r="B346" s="21"/>
      <c r="C346" s="27"/>
      <c r="D346" s="21"/>
      <c r="E346" s="28"/>
      <c r="F346" s="28"/>
      <c r="G346" s="21"/>
      <c r="H346" s="29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</row>
    <row r="347" spans="1:61" x14ac:dyDescent="0.25">
      <c r="A347" s="21"/>
      <c r="B347" s="21"/>
      <c r="C347" s="27"/>
      <c r="D347" s="21"/>
      <c r="E347" s="28"/>
      <c r="F347" s="28"/>
      <c r="G347" s="21"/>
      <c r="H347" s="29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</row>
    <row r="348" spans="1:61" x14ac:dyDescent="0.25">
      <c r="A348" s="21"/>
      <c r="B348" s="21"/>
      <c r="C348" s="27"/>
      <c r="D348" s="21"/>
      <c r="E348" s="28"/>
      <c r="F348" s="28"/>
      <c r="G348" s="21"/>
      <c r="H348" s="29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</row>
    <row r="349" spans="1:61" x14ac:dyDescent="0.25">
      <c r="A349" s="21"/>
      <c r="B349" s="21"/>
      <c r="C349" s="27"/>
      <c r="D349" s="21"/>
      <c r="E349" s="28"/>
      <c r="F349" s="28"/>
      <c r="G349" s="21"/>
      <c r="H349" s="29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</row>
    <row r="350" spans="1:61" x14ac:dyDescent="0.25">
      <c r="A350" s="21"/>
      <c r="B350" s="21"/>
      <c r="C350" s="27"/>
      <c r="D350" s="21"/>
      <c r="E350" s="28"/>
      <c r="F350" s="28"/>
      <c r="G350" s="21"/>
      <c r="H350" s="29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</row>
    <row r="351" spans="1:61" x14ac:dyDescent="0.25">
      <c r="A351" s="21"/>
      <c r="B351" s="21"/>
      <c r="C351" s="27"/>
      <c r="D351" s="21"/>
      <c r="E351" s="28"/>
      <c r="F351" s="28"/>
      <c r="G351" s="21"/>
      <c r="H351" s="29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</row>
    <row r="352" spans="1:61" x14ac:dyDescent="0.25">
      <c r="A352" s="21"/>
      <c r="B352" s="21"/>
      <c r="C352" s="27"/>
      <c r="D352" s="21"/>
      <c r="E352" s="28"/>
      <c r="F352" s="28"/>
      <c r="G352" s="21"/>
      <c r="H352" s="29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</row>
    <row r="353" spans="1:61" x14ac:dyDescent="0.25">
      <c r="A353" s="21"/>
      <c r="B353" s="21"/>
      <c r="C353" s="27"/>
      <c r="D353" s="21"/>
      <c r="E353" s="28"/>
      <c r="F353" s="28"/>
      <c r="G353" s="21"/>
      <c r="H353" s="29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</row>
    <row r="354" spans="1:61" x14ac:dyDescent="0.25">
      <c r="A354" s="21"/>
      <c r="B354" s="21"/>
      <c r="C354" s="27"/>
      <c r="D354" s="21"/>
      <c r="E354" s="28"/>
      <c r="F354" s="28"/>
      <c r="G354" s="21"/>
      <c r="H354" s="29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</row>
    <row r="355" spans="1:61" x14ac:dyDescent="0.25">
      <c r="A355" s="21"/>
      <c r="B355" s="21"/>
      <c r="C355" s="27"/>
      <c r="D355" s="21"/>
      <c r="E355" s="28"/>
      <c r="F355" s="28"/>
      <c r="G355" s="21"/>
      <c r="H355" s="29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</row>
    <row r="356" spans="1:61" x14ac:dyDescent="0.25">
      <c r="A356" s="21"/>
      <c r="B356" s="21"/>
      <c r="C356" s="27"/>
      <c r="D356" s="21"/>
      <c r="E356" s="28"/>
      <c r="F356" s="28"/>
      <c r="G356" s="21"/>
      <c r="H356" s="29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</row>
    <row r="357" spans="1:61" x14ac:dyDescent="0.25">
      <c r="A357" s="21"/>
      <c r="B357" s="21"/>
      <c r="C357" s="27"/>
      <c r="D357" s="21"/>
      <c r="E357" s="28"/>
      <c r="F357" s="28"/>
      <c r="G357" s="21"/>
      <c r="H357" s="29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</row>
    <row r="358" spans="1:61" x14ac:dyDescent="0.25">
      <c r="A358" s="21"/>
      <c r="B358" s="21"/>
      <c r="C358" s="27"/>
      <c r="D358" s="21"/>
      <c r="E358" s="28"/>
      <c r="F358" s="28"/>
      <c r="G358" s="21"/>
      <c r="H358" s="29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</row>
    <row r="359" spans="1:61" x14ac:dyDescent="0.25">
      <c r="A359" s="21"/>
      <c r="B359" s="21"/>
      <c r="C359" s="27"/>
      <c r="D359" s="21"/>
      <c r="E359" s="28"/>
      <c r="F359" s="28"/>
      <c r="G359" s="21"/>
      <c r="H359" s="29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</row>
    <row r="360" spans="1:61" x14ac:dyDescent="0.25">
      <c r="A360" s="21"/>
      <c r="B360" s="21"/>
      <c r="C360" s="27"/>
      <c r="D360" s="21"/>
      <c r="E360" s="28"/>
      <c r="F360" s="28"/>
      <c r="G360" s="21"/>
      <c r="H360" s="29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</row>
    <row r="361" spans="1:61" x14ac:dyDescent="0.25">
      <c r="A361" s="21"/>
      <c r="B361" s="21"/>
      <c r="C361" s="27"/>
      <c r="D361" s="21"/>
      <c r="E361" s="28"/>
      <c r="F361" s="28"/>
      <c r="G361" s="21"/>
      <c r="H361" s="29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</row>
    <row r="362" spans="1:61" x14ac:dyDescent="0.25">
      <c r="A362" s="21"/>
      <c r="B362" s="21"/>
      <c r="C362" s="27"/>
      <c r="D362" s="21"/>
      <c r="E362" s="28"/>
      <c r="F362" s="28"/>
      <c r="G362" s="21"/>
      <c r="H362" s="29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</row>
    <row r="363" spans="1:61" x14ac:dyDescent="0.25">
      <c r="A363" s="21"/>
      <c r="B363" s="21"/>
      <c r="C363" s="27"/>
      <c r="D363" s="21"/>
      <c r="E363" s="28"/>
      <c r="F363" s="28"/>
      <c r="G363" s="21"/>
      <c r="H363" s="29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</row>
    <row r="364" spans="1:61" x14ac:dyDescent="0.25">
      <c r="A364" s="21"/>
      <c r="B364" s="21"/>
      <c r="C364" s="27"/>
      <c r="D364" s="21"/>
      <c r="E364" s="28"/>
      <c r="F364" s="28"/>
      <c r="G364" s="21"/>
      <c r="H364" s="29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</row>
    <row r="365" spans="1:61" x14ac:dyDescent="0.25">
      <c r="A365" s="21"/>
      <c r="B365" s="21"/>
      <c r="C365" s="27"/>
      <c r="D365" s="21"/>
      <c r="E365" s="28"/>
      <c r="F365" s="28"/>
      <c r="G365" s="21"/>
      <c r="H365" s="29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</row>
    <row r="366" spans="1:61" x14ac:dyDescent="0.25">
      <c r="A366" s="21"/>
      <c r="B366" s="21"/>
      <c r="C366" s="27"/>
      <c r="D366" s="21"/>
      <c r="E366" s="28"/>
      <c r="F366" s="28"/>
      <c r="G366" s="21"/>
      <c r="H366" s="29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</row>
    <row r="367" spans="1:61" x14ac:dyDescent="0.25">
      <c r="A367" s="21"/>
      <c r="B367" s="21"/>
      <c r="C367" s="27"/>
      <c r="D367" s="21"/>
      <c r="E367" s="28"/>
      <c r="F367" s="28"/>
      <c r="G367" s="21"/>
      <c r="H367" s="29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</row>
    <row r="368" spans="1:61" x14ac:dyDescent="0.25">
      <c r="A368" s="21"/>
      <c r="B368" s="21"/>
      <c r="C368" s="27"/>
      <c r="D368" s="21"/>
      <c r="E368" s="28"/>
      <c r="F368" s="28"/>
      <c r="G368" s="21"/>
      <c r="H368" s="29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</row>
    <row r="369" spans="1:61" x14ac:dyDescent="0.25">
      <c r="A369" s="21"/>
      <c r="B369" s="21"/>
      <c r="C369" s="27"/>
      <c r="D369" s="21"/>
      <c r="E369" s="28"/>
      <c r="F369" s="28"/>
      <c r="G369" s="21"/>
      <c r="H369" s="29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</row>
    <row r="370" spans="1:61" x14ac:dyDescent="0.25">
      <c r="A370" s="21"/>
      <c r="B370" s="21"/>
      <c r="C370" s="27"/>
      <c r="D370" s="21"/>
      <c r="E370" s="28"/>
      <c r="F370" s="28"/>
      <c r="G370" s="21"/>
      <c r="H370" s="29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</row>
    <row r="371" spans="1:61" x14ac:dyDescent="0.25">
      <c r="A371" s="21"/>
      <c r="B371" s="21"/>
      <c r="C371" s="27"/>
      <c r="D371" s="21"/>
      <c r="E371" s="28"/>
      <c r="F371" s="28"/>
      <c r="G371" s="21"/>
      <c r="H371" s="29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</row>
    <row r="372" spans="1:61" x14ac:dyDescent="0.25">
      <c r="A372" s="21"/>
      <c r="B372" s="21"/>
      <c r="C372" s="27"/>
      <c r="D372" s="21"/>
      <c r="E372" s="28"/>
      <c r="F372" s="28"/>
      <c r="G372" s="21"/>
      <c r="H372" s="29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</row>
    <row r="373" spans="1:61" x14ac:dyDescent="0.25">
      <c r="A373" s="21"/>
      <c r="B373" s="21"/>
      <c r="C373" s="27"/>
      <c r="D373" s="21"/>
      <c r="E373" s="28"/>
      <c r="F373" s="28"/>
      <c r="G373" s="21"/>
      <c r="H373" s="29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</row>
    <row r="374" spans="1:61" x14ac:dyDescent="0.25">
      <c r="A374" s="21"/>
      <c r="B374" s="21"/>
      <c r="C374" s="27"/>
      <c r="D374" s="21"/>
      <c r="E374" s="28"/>
      <c r="F374" s="28"/>
      <c r="G374" s="21"/>
      <c r="H374" s="29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</row>
    <row r="375" spans="1:61" x14ac:dyDescent="0.25">
      <c r="A375" s="21"/>
      <c r="B375" s="21"/>
      <c r="C375" s="27"/>
      <c r="D375" s="21"/>
      <c r="E375" s="28"/>
      <c r="F375" s="28"/>
      <c r="G375" s="21"/>
      <c r="H375" s="29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</row>
    <row r="376" spans="1:61" x14ac:dyDescent="0.25">
      <c r="A376" s="21"/>
      <c r="B376" s="21"/>
      <c r="C376" s="27"/>
      <c r="D376" s="21"/>
      <c r="E376" s="28"/>
      <c r="F376" s="28"/>
      <c r="G376" s="21"/>
      <c r="H376" s="29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</row>
    <row r="377" spans="1:61" x14ac:dyDescent="0.25">
      <c r="A377" s="21"/>
      <c r="B377" s="21"/>
      <c r="C377" s="27"/>
      <c r="D377" s="21"/>
      <c r="E377" s="28"/>
      <c r="F377" s="28"/>
      <c r="G377" s="21"/>
      <c r="H377" s="29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</row>
    <row r="378" spans="1:61" x14ac:dyDescent="0.25">
      <c r="A378" s="21"/>
      <c r="B378" s="21"/>
      <c r="C378" s="27"/>
      <c r="D378" s="21"/>
      <c r="E378" s="28"/>
      <c r="F378" s="28"/>
      <c r="G378" s="21"/>
      <c r="H378" s="29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</row>
    <row r="379" spans="1:61" x14ac:dyDescent="0.25">
      <c r="A379" s="21"/>
      <c r="B379" s="21"/>
      <c r="C379" s="27"/>
      <c r="D379" s="21"/>
      <c r="E379" s="28"/>
      <c r="F379" s="28"/>
      <c r="G379" s="21"/>
      <c r="H379" s="29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</row>
    <row r="380" spans="1:61" x14ac:dyDescent="0.25">
      <c r="A380" s="21"/>
      <c r="B380" s="21"/>
      <c r="C380" s="27"/>
      <c r="D380" s="21"/>
      <c r="E380" s="28"/>
      <c r="F380" s="28"/>
      <c r="G380" s="21"/>
      <c r="H380" s="29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</row>
    <row r="381" spans="1:61" x14ac:dyDescent="0.25">
      <c r="A381" s="21"/>
      <c r="B381" s="21"/>
      <c r="C381" s="27"/>
      <c r="D381" s="21"/>
      <c r="E381" s="28"/>
      <c r="F381" s="28"/>
      <c r="G381" s="21"/>
      <c r="H381" s="29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</row>
    <row r="382" spans="1:61" x14ac:dyDescent="0.25">
      <c r="A382" s="21"/>
      <c r="B382" s="21"/>
      <c r="C382" s="27"/>
      <c r="D382" s="21"/>
      <c r="E382" s="28"/>
      <c r="F382" s="28"/>
      <c r="G382" s="21"/>
      <c r="H382" s="29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</row>
    <row r="383" spans="1:61" x14ac:dyDescent="0.25">
      <c r="A383" s="21"/>
      <c r="B383" s="21"/>
      <c r="C383" s="27"/>
      <c r="D383" s="21"/>
      <c r="E383" s="28"/>
      <c r="F383" s="28"/>
      <c r="G383" s="21"/>
      <c r="H383" s="29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</row>
    <row r="384" spans="1:61" x14ac:dyDescent="0.25">
      <c r="A384" s="21"/>
      <c r="B384" s="21"/>
      <c r="C384" s="27"/>
      <c r="D384" s="21"/>
      <c r="E384" s="28"/>
      <c r="F384" s="28"/>
      <c r="G384" s="21"/>
      <c r="H384" s="29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</row>
    <row r="385" spans="1:61" x14ac:dyDescent="0.25">
      <c r="A385" s="21"/>
      <c r="B385" s="21"/>
      <c r="C385" s="27"/>
      <c r="D385" s="21"/>
      <c r="E385" s="28"/>
      <c r="F385" s="28"/>
      <c r="G385" s="21"/>
      <c r="H385" s="29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</row>
    <row r="386" spans="1:61" x14ac:dyDescent="0.25">
      <c r="A386" s="21"/>
      <c r="B386" s="21"/>
      <c r="C386" s="27"/>
      <c r="D386" s="21"/>
      <c r="E386" s="28"/>
      <c r="F386" s="28"/>
      <c r="G386" s="21"/>
      <c r="H386" s="29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</row>
    <row r="387" spans="1:61" x14ac:dyDescent="0.25">
      <c r="A387" s="21"/>
      <c r="B387" s="21"/>
      <c r="C387" s="27"/>
      <c r="D387" s="21"/>
      <c r="E387" s="28"/>
      <c r="F387" s="28"/>
      <c r="G387" s="21"/>
      <c r="H387" s="29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</row>
    <row r="388" spans="1:61" x14ac:dyDescent="0.25">
      <c r="A388" s="21"/>
      <c r="B388" s="21"/>
      <c r="C388" s="27"/>
      <c r="D388" s="21"/>
      <c r="E388" s="28"/>
      <c r="F388" s="28"/>
      <c r="G388" s="21"/>
      <c r="H388" s="29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</row>
    <row r="389" spans="1:61" x14ac:dyDescent="0.25">
      <c r="A389" s="21"/>
      <c r="B389" s="21"/>
      <c r="C389" s="27"/>
      <c r="D389" s="21"/>
      <c r="E389" s="28"/>
      <c r="F389" s="28"/>
      <c r="G389" s="21"/>
      <c r="H389" s="29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</row>
    <row r="390" spans="1:61" x14ac:dyDescent="0.25">
      <c r="A390" s="21"/>
      <c r="B390" s="21"/>
      <c r="C390" s="27"/>
      <c r="D390" s="21"/>
      <c r="E390" s="28"/>
      <c r="F390" s="28"/>
      <c r="G390" s="21"/>
      <c r="H390" s="29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</row>
    <row r="391" spans="1:61" x14ac:dyDescent="0.25">
      <c r="A391" s="21"/>
      <c r="B391" s="21"/>
      <c r="C391" s="27"/>
      <c r="D391" s="21"/>
      <c r="E391" s="28"/>
      <c r="F391" s="28"/>
      <c r="G391" s="21"/>
      <c r="H391" s="29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</row>
    <row r="392" spans="1:61" x14ac:dyDescent="0.25">
      <c r="A392" s="21"/>
      <c r="B392" s="21"/>
      <c r="C392" s="27"/>
      <c r="D392" s="21"/>
      <c r="E392" s="28"/>
      <c r="F392" s="28"/>
      <c r="G392" s="21"/>
      <c r="H392" s="29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</row>
    <row r="393" spans="1:61" x14ac:dyDescent="0.25">
      <c r="A393" s="21"/>
      <c r="B393" s="21"/>
      <c r="C393" s="27"/>
      <c r="D393" s="21"/>
      <c r="E393" s="28"/>
      <c r="F393" s="28"/>
      <c r="G393" s="21"/>
      <c r="H393" s="29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</row>
    <row r="394" spans="1:61" x14ac:dyDescent="0.25">
      <c r="A394" s="21"/>
      <c r="B394" s="21"/>
      <c r="C394" s="27"/>
      <c r="D394" s="21"/>
      <c r="E394" s="28"/>
      <c r="F394" s="28"/>
      <c r="G394" s="21"/>
      <c r="H394" s="29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</row>
    <row r="395" spans="1:61" x14ac:dyDescent="0.25">
      <c r="A395" s="21"/>
      <c r="B395" s="21"/>
      <c r="C395" s="27"/>
      <c r="D395" s="21"/>
      <c r="E395" s="28"/>
      <c r="F395" s="28"/>
      <c r="G395" s="21"/>
      <c r="H395" s="29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</row>
    <row r="396" spans="1:61" x14ac:dyDescent="0.25">
      <c r="A396" s="21"/>
      <c r="B396" s="21"/>
      <c r="C396" s="27"/>
      <c r="D396" s="21"/>
      <c r="E396" s="28"/>
      <c r="F396" s="28"/>
      <c r="G396" s="21"/>
      <c r="H396" s="29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</row>
    <row r="397" spans="1:61" x14ac:dyDescent="0.25">
      <c r="A397" s="21"/>
      <c r="B397" s="21"/>
      <c r="C397" s="27"/>
      <c r="D397" s="21"/>
      <c r="E397" s="28"/>
      <c r="F397" s="28"/>
      <c r="G397" s="21"/>
      <c r="H397" s="29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</row>
    <row r="398" spans="1:61" x14ac:dyDescent="0.25">
      <c r="A398" s="21"/>
      <c r="B398" s="21"/>
      <c r="C398" s="27"/>
      <c r="D398" s="21"/>
      <c r="E398" s="28"/>
      <c r="F398" s="28"/>
      <c r="G398" s="21"/>
      <c r="H398" s="29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</row>
    <row r="399" spans="1:61" x14ac:dyDescent="0.25">
      <c r="A399" s="21"/>
      <c r="B399" s="21"/>
      <c r="C399" s="27"/>
      <c r="D399" s="21"/>
      <c r="E399" s="28"/>
      <c r="F399" s="28"/>
      <c r="G399" s="21"/>
      <c r="H399" s="29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</row>
    <row r="400" spans="1:61" x14ac:dyDescent="0.25">
      <c r="A400" s="21"/>
      <c r="B400" s="21"/>
      <c r="C400" s="27"/>
      <c r="D400" s="21"/>
      <c r="E400" s="28"/>
      <c r="F400" s="28"/>
      <c r="G400" s="21"/>
      <c r="H400" s="29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</row>
    <row r="401" spans="1:30" x14ac:dyDescent="0.25">
      <c r="A401" s="21"/>
      <c r="B401" s="21"/>
      <c r="C401" s="27"/>
      <c r="D401" s="21"/>
      <c r="E401" s="28"/>
      <c r="F401" s="28"/>
      <c r="G401" s="21"/>
      <c r="H401" s="29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</row>
    <row r="402" spans="1:30" x14ac:dyDescent="0.25">
      <c r="A402" s="21"/>
      <c r="B402" s="21"/>
      <c r="C402" s="27"/>
      <c r="D402" s="21"/>
      <c r="E402" s="28"/>
      <c r="F402" s="28"/>
      <c r="G402" s="21"/>
      <c r="H402" s="29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</row>
    <row r="403" spans="1:30" x14ac:dyDescent="0.25">
      <c r="A403" s="21"/>
      <c r="B403" s="21"/>
      <c r="C403" s="27"/>
      <c r="D403" s="21"/>
      <c r="E403" s="28"/>
      <c r="F403" s="28"/>
      <c r="G403" s="21"/>
      <c r="H403" s="29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</row>
    <row r="404" spans="1:30" x14ac:dyDescent="0.25">
      <c r="A404" s="21"/>
      <c r="B404" s="21"/>
      <c r="C404" s="27"/>
      <c r="D404" s="21"/>
      <c r="E404" s="28"/>
      <c r="F404" s="28"/>
      <c r="G404" s="21"/>
      <c r="H404" s="29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</row>
    <row r="405" spans="1:30" x14ac:dyDescent="0.25">
      <c r="A405" s="21"/>
      <c r="B405" s="21"/>
      <c r="C405" s="27"/>
      <c r="D405" s="21"/>
      <c r="E405" s="28"/>
      <c r="F405" s="28"/>
      <c r="G405" s="21"/>
      <c r="H405" s="29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</row>
    <row r="406" spans="1:30" x14ac:dyDescent="0.25">
      <c r="A406" s="21"/>
      <c r="B406" s="21"/>
      <c r="C406" s="27"/>
      <c r="D406" s="21"/>
      <c r="E406" s="28"/>
      <c r="F406" s="28"/>
      <c r="G406" s="21"/>
      <c r="H406" s="29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</row>
    <row r="407" spans="1:30" x14ac:dyDescent="0.25">
      <c r="A407" s="21"/>
      <c r="B407" s="21"/>
      <c r="C407" s="27"/>
      <c r="D407" s="21"/>
      <c r="E407" s="28"/>
      <c r="F407" s="28"/>
      <c r="G407" s="21"/>
      <c r="H407" s="29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</row>
    <row r="408" spans="1:30" x14ac:dyDescent="0.25">
      <c r="A408" s="21"/>
      <c r="B408" s="21"/>
      <c r="C408" s="27"/>
      <c r="D408" s="21"/>
      <c r="E408" s="28"/>
      <c r="F408" s="28"/>
      <c r="G408" s="21"/>
      <c r="H408" s="29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</row>
    <row r="409" spans="1:30" x14ac:dyDescent="0.25">
      <c r="A409" s="21"/>
      <c r="B409" s="21"/>
      <c r="C409" s="27"/>
      <c r="D409" s="21"/>
      <c r="E409" s="28"/>
      <c r="F409" s="28"/>
      <c r="G409" s="21"/>
      <c r="H409" s="29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</row>
    <row r="410" spans="1:30" x14ac:dyDescent="0.25">
      <c r="A410" s="21"/>
      <c r="B410" s="21"/>
      <c r="C410" s="27"/>
      <c r="D410" s="21"/>
      <c r="E410" s="28"/>
      <c r="F410" s="28"/>
      <c r="G410" s="21"/>
      <c r="H410" s="29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</row>
    <row r="411" spans="1:30" x14ac:dyDescent="0.25">
      <c r="A411" s="21"/>
      <c r="B411" s="21"/>
      <c r="C411" s="27"/>
      <c r="D411" s="21"/>
      <c r="E411" s="28"/>
      <c r="F411" s="28"/>
      <c r="G411" s="21"/>
      <c r="H411" s="29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</row>
    <row r="412" spans="1:30" x14ac:dyDescent="0.25">
      <c r="A412" s="21"/>
      <c r="B412" s="21"/>
      <c r="C412" s="27"/>
      <c r="D412" s="21"/>
      <c r="E412" s="28"/>
      <c r="F412" s="28"/>
      <c r="G412" s="21"/>
      <c r="H412" s="29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</row>
    <row r="413" spans="1:30" x14ac:dyDescent="0.25">
      <c r="A413" s="21"/>
      <c r="B413" s="21"/>
      <c r="C413" s="27"/>
      <c r="D413" s="21"/>
      <c r="E413" s="28"/>
      <c r="F413" s="28"/>
      <c r="G413" s="21"/>
      <c r="H413" s="29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</row>
    <row r="414" spans="1:30" x14ac:dyDescent="0.25">
      <c r="A414" s="21"/>
      <c r="B414" s="21"/>
      <c r="C414" s="27"/>
      <c r="D414" s="21"/>
      <c r="E414" s="28"/>
      <c r="F414" s="28"/>
      <c r="G414" s="21"/>
      <c r="H414" s="29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</row>
    <row r="415" spans="1:30" x14ac:dyDescent="0.25">
      <c r="A415" s="21"/>
      <c r="B415" s="21"/>
      <c r="C415" s="27"/>
      <c r="D415" s="21"/>
      <c r="E415" s="28"/>
      <c r="F415" s="28"/>
      <c r="G415" s="21"/>
      <c r="H415" s="29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</row>
    <row r="416" spans="1:30" x14ac:dyDescent="0.25">
      <c r="A416" s="21"/>
      <c r="B416" s="21"/>
      <c r="C416" s="27"/>
      <c r="D416" s="21"/>
      <c r="E416" s="28"/>
      <c r="F416" s="28"/>
      <c r="G416" s="21"/>
      <c r="H416" s="29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</row>
    <row r="417" spans="1:30" x14ac:dyDescent="0.25">
      <c r="A417" s="21"/>
      <c r="B417" s="21"/>
      <c r="C417" s="27"/>
      <c r="D417" s="21"/>
      <c r="E417" s="28"/>
      <c r="F417" s="28"/>
      <c r="G417" s="21"/>
      <c r="H417" s="29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</row>
    <row r="418" spans="1:30" x14ac:dyDescent="0.25">
      <c r="A418" s="21"/>
      <c r="B418" s="21"/>
      <c r="C418" s="27"/>
      <c r="D418" s="21"/>
      <c r="E418" s="28"/>
      <c r="F418" s="28"/>
      <c r="G418" s="21"/>
      <c r="H418" s="29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</row>
    <row r="419" spans="1:30" x14ac:dyDescent="0.25">
      <c r="A419" s="21"/>
      <c r="B419" s="21"/>
      <c r="C419" s="27"/>
      <c r="D419" s="21"/>
      <c r="E419" s="28"/>
      <c r="F419" s="28"/>
      <c r="G419" s="21"/>
      <c r="H419" s="29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</row>
    <row r="420" spans="1:30" x14ac:dyDescent="0.25">
      <c r="A420" s="21"/>
      <c r="B420" s="21"/>
      <c r="C420" s="27"/>
      <c r="D420" s="21"/>
      <c r="E420" s="28"/>
      <c r="F420" s="28"/>
      <c r="G420" s="21"/>
      <c r="H420" s="29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</row>
    <row r="421" spans="1:30" x14ac:dyDescent="0.25">
      <c r="A421" s="21"/>
      <c r="B421" s="21"/>
      <c r="C421" s="27"/>
      <c r="D421" s="21"/>
      <c r="E421" s="28"/>
      <c r="F421" s="28"/>
      <c r="G421" s="21"/>
      <c r="H421" s="29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</row>
    <row r="422" spans="1:30" x14ac:dyDescent="0.25">
      <c r="A422" s="21"/>
      <c r="B422" s="21"/>
      <c r="C422" s="27"/>
      <c r="D422" s="21"/>
      <c r="E422" s="28"/>
      <c r="F422" s="28"/>
      <c r="G422" s="21"/>
      <c r="H422" s="29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</row>
    <row r="423" spans="1:30" x14ac:dyDescent="0.25">
      <c r="A423" s="21"/>
      <c r="B423" s="21"/>
      <c r="C423" s="27"/>
      <c r="D423" s="21"/>
      <c r="E423" s="28"/>
      <c r="F423" s="28"/>
      <c r="G423" s="21"/>
      <c r="H423" s="29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</row>
    <row r="424" spans="1:30" x14ac:dyDescent="0.25">
      <c r="A424" s="21"/>
      <c r="B424" s="21"/>
      <c r="C424" s="27"/>
      <c r="D424" s="21"/>
      <c r="E424" s="28"/>
      <c r="F424" s="28"/>
      <c r="G424" s="21"/>
      <c r="H424" s="29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</row>
    <row r="425" spans="1:30" x14ac:dyDescent="0.25">
      <c r="A425" s="21"/>
      <c r="B425" s="21"/>
      <c r="C425" s="27"/>
      <c r="D425" s="21"/>
      <c r="E425" s="28"/>
      <c r="F425" s="28"/>
      <c r="G425" s="21"/>
      <c r="H425" s="29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</row>
    <row r="426" spans="1:30" x14ac:dyDescent="0.25">
      <c r="A426" s="21"/>
      <c r="B426" s="21"/>
      <c r="C426" s="27"/>
      <c r="D426" s="21"/>
      <c r="E426" s="28"/>
      <c r="F426" s="28"/>
      <c r="G426" s="21"/>
      <c r="H426" s="29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</row>
    <row r="427" spans="1:30" x14ac:dyDescent="0.25">
      <c r="A427" s="21"/>
      <c r="B427" s="21"/>
      <c r="C427" s="27"/>
      <c r="D427" s="21"/>
      <c r="E427" s="28"/>
      <c r="F427" s="28"/>
      <c r="G427" s="21"/>
      <c r="H427" s="29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</row>
    <row r="428" spans="1:30" x14ac:dyDescent="0.25">
      <c r="A428" s="21"/>
      <c r="B428" s="21"/>
      <c r="C428" s="27"/>
      <c r="D428" s="21"/>
      <c r="E428" s="28"/>
      <c r="F428" s="28"/>
      <c r="G428" s="21"/>
      <c r="H428" s="29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</row>
    <row r="429" spans="1:30" x14ac:dyDescent="0.25">
      <c r="A429" s="21"/>
      <c r="B429" s="21"/>
      <c r="C429" s="27"/>
      <c r="D429" s="21"/>
      <c r="E429" s="28"/>
      <c r="F429" s="28"/>
      <c r="G429" s="21"/>
      <c r="H429" s="29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</row>
    <row r="430" spans="1:30" x14ac:dyDescent="0.25">
      <c r="A430" s="21"/>
      <c r="B430" s="21"/>
      <c r="C430" s="27"/>
      <c r="D430" s="21"/>
      <c r="E430" s="28"/>
      <c r="F430" s="28"/>
      <c r="G430" s="21"/>
      <c r="H430" s="29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</row>
    <row r="431" spans="1:30" x14ac:dyDescent="0.25">
      <c r="A431" s="21"/>
      <c r="B431" s="21"/>
      <c r="C431" s="27"/>
      <c r="D431" s="21"/>
      <c r="E431" s="28"/>
      <c r="F431" s="28"/>
      <c r="G431" s="21"/>
      <c r="H431" s="29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</row>
    <row r="432" spans="1:30" x14ac:dyDescent="0.25">
      <c r="A432" s="21"/>
      <c r="B432" s="21"/>
      <c r="C432" s="27"/>
      <c r="D432" s="21"/>
      <c r="E432" s="28"/>
      <c r="F432" s="28"/>
      <c r="G432" s="21"/>
      <c r="H432" s="29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</row>
    <row r="433" spans="1:30" x14ac:dyDescent="0.25">
      <c r="A433" s="21"/>
      <c r="B433" s="21"/>
      <c r="C433" s="27"/>
      <c r="D433" s="21"/>
      <c r="E433" s="28"/>
      <c r="F433" s="28"/>
      <c r="G433" s="21"/>
      <c r="H433" s="29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</row>
    <row r="434" spans="1:30" x14ac:dyDescent="0.25">
      <c r="A434" s="21"/>
      <c r="B434" s="21"/>
      <c r="C434" s="27"/>
      <c r="D434" s="21"/>
      <c r="E434" s="28"/>
      <c r="F434" s="28"/>
      <c r="G434" s="21"/>
      <c r="H434" s="29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</row>
    <row r="435" spans="1:30" x14ac:dyDescent="0.25">
      <c r="A435" s="21"/>
      <c r="B435" s="21"/>
      <c r="C435" s="27"/>
      <c r="D435" s="21"/>
      <c r="E435" s="28"/>
      <c r="F435" s="28"/>
      <c r="G435" s="21"/>
      <c r="H435" s="29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</row>
    <row r="436" spans="1:30" x14ac:dyDescent="0.25">
      <c r="A436" s="21"/>
      <c r="B436" s="21"/>
      <c r="C436" s="27"/>
      <c r="D436" s="21"/>
      <c r="E436" s="28"/>
      <c r="F436" s="28"/>
      <c r="G436" s="21"/>
      <c r="H436" s="29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</row>
    <row r="437" spans="1:30" x14ac:dyDescent="0.25">
      <c r="A437" s="21"/>
      <c r="B437" s="21"/>
      <c r="C437" s="27"/>
      <c r="D437" s="21"/>
      <c r="E437" s="28"/>
      <c r="F437" s="28"/>
      <c r="G437" s="21"/>
      <c r="H437" s="29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</row>
    <row r="438" spans="1:30" x14ac:dyDescent="0.25">
      <c r="A438" s="21"/>
      <c r="B438" s="21"/>
      <c r="C438" s="27"/>
      <c r="D438" s="21"/>
      <c r="E438" s="28"/>
      <c r="F438" s="28"/>
      <c r="G438" s="21"/>
      <c r="H438" s="29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</row>
    <row r="439" spans="1:30" x14ac:dyDescent="0.25">
      <c r="A439" s="21"/>
      <c r="B439" s="21"/>
      <c r="C439" s="27"/>
      <c r="D439" s="21"/>
      <c r="E439" s="28"/>
      <c r="F439" s="28"/>
      <c r="G439" s="21"/>
      <c r="H439" s="29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</row>
    <row r="440" spans="1:30" x14ac:dyDescent="0.25">
      <c r="A440" s="21"/>
      <c r="B440" s="21"/>
      <c r="C440" s="27"/>
      <c r="D440" s="21"/>
      <c r="E440" s="28"/>
      <c r="F440" s="28"/>
      <c r="G440" s="21"/>
      <c r="H440" s="29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</row>
    <row r="441" spans="1:30" x14ac:dyDescent="0.25">
      <c r="A441" s="21"/>
      <c r="B441" s="21"/>
      <c r="C441" s="27"/>
      <c r="D441" s="21"/>
      <c r="E441" s="28"/>
      <c r="F441" s="28"/>
      <c r="G441" s="21"/>
      <c r="H441" s="29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</row>
    <row r="442" spans="1:30" x14ac:dyDescent="0.25">
      <c r="A442" s="21"/>
      <c r="B442" s="21"/>
      <c r="C442" s="27"/>
      <c r="D442" s="21"/>
      <c r="E442" s="28"/>
      <c r="F442" s="28"/>
      <c r="G442" s="21"/>
      <c r="H442" s="29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</row>
    <row r="443" spans="1:30" x14ac:dyDescent="0.25">
      <c r="A443" s="21"/>
      <c r="B443" s="21"/>
      <c r="C443" s="27"/>
      <c r="D443" s="21"/>
      <c r="E443" s="28"/>
      <c r="F443" s="28"/>
      <c r="G443" s="21"/>
      <c r="H443" s="29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</row>
    <row r="444" spans="1:30" x14ac:dyDescent="0.25">
      <c r="A444" s="21"/>
      <c r="B444" s="21"/>
      <c r="C444" s="27"/>
      <c r="D444" s="21"/>
      <c r="E444" s="28"/>
      <c r="F444" s="28"/>
      <c r="G444" s="21"/>
      <c r="H444" s="29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</row>
    <row r="445" spans="1:30" x14ac:dyDescent="0.25">
      <c r="A445" s="21"/>
      <c r="B445" s="21"/>
      <c r="C445" s="27"/>
      <c r="D445" s="21"/>
      <c r="E445" s="28"/>
      <c r="F445" s="28"/>
      <c r="G445" s="21"/>
      <c r="H445" s="29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</row>
    <row r="446" spans="1:30" x14ac:dyDescent="0.25">
      <c r="A446" s="21"/>
      <c r="B446" s="21"/>
      <c r="C446" s="27"/>
      <c r="D446" s="21"/>
      <c r="E446" s="28"/>
      <c r="F446" s="28"/>
      <c r="G446" s="21"/>
      <c r="H446" s="29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</row>
    <row r="447" spans="1:30" x14ac:dyDescent="0.25">
      <c r="A447" s="21"/>
      <c r="B447" s="21"/>
      <c r="C447" s="27"/>
      <c r="D447" s="21"/>
      <c r="E447" s="28"/>
      <c r="F447" s="28"/>
      <c r="G447" s="21"/>
      <c r="H447" s="29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</row>
    <row r="448" spans="1:30" x14ac:dyDescent="0.25">
      <c r="A448" s="21"/>
      <c r="B448" s="21"/>
      <c r="C448" s="27"/>
      <c r="D448" s="21"/>
      <c r="E448" s="28"/>
      <c r="F448" s="28"/>
      <c r="G448" s="21"/>
      <c r="H448" s="29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</row>
    <row r="449" spans="1:30" x14ac:dyDescent="0.25">
      <c r="A449" s="21"/>
      <c r="B449" s="21"/>
      <c r="C449" s="27"/>
      <c r="D449" s="21"/>
      <c r="E449" s="28"/>
      <c r="F449" s="28"/>
      <c r="G449" s="21"/>
      <c r="H449" s="29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</row>
    <row r="450" spans="1:30" x14ac:dyDescent="0.25">
      <c r="A450" s="21"/>
      <c r="B450" s="21"/>
      <c r="C450" s="27"/>
      <c r="D450" s="21"/>
      <c r="E450" s="28"/>
      <c r="F450" s="28"/>
      <c r="G450" s="21"/>
      <c r="H450" s="29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</row>
    <row r="451" spans="1:30" x14ac:dyDescent="0.25">
      <c r="A451" s="21"/>
      <c r="B451" s="21"/>
      <c r="C451" s="27"/>
      <c r="D451" s="21"/>
      <c r="E451" s="28"/>
      <c r="F451" s="28"/>
      <c r="G451" s="21"/>
      <c r="H451" s="29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</row>
    <row r="452" spans="1:30" x14ac:dyDescent="0.25">
      <c r="A452" s="21"/>
      <c r="B452" s="21"/>
      <c r="C452" s="27"/>
      <c r="D452" s="21"/>
      <c r="E452" s="28"/>
      <c r="F452" s="28"/>
      <c r="G452" s="21"/>
      <c r="H452" s="29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</row>
    <row r="453" spans="1:30" x14ac:dyDescent="0.25">
      <c r="A453" s="21"/>
      <c r="B453" s="21"/>
      <c r="C453" s="27"/>
      <c r="D453" s="21"/>
      <c r="E453" s="28"/>
      <c r="F453" s="28"/>
      <c r="G453" s="21"/>
      <c r="H453" s="29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</row>
    <row r="454" spans="1:30" x14ac:dyDescent="0.25">
      <c r="A454" s="21"/>
      <c r="B454" s="21"/>
      <c r="C454" s="27"/>
      <c r="D454" s="21"/>
      <c r="E454" s="28"/>
      <c r="F454" s="28"/>
      <c r="G454" s="21"/>
      <c r="H454" s="29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</row>
    <row r="455" spans="1:30" x14ac:dyDescent="0.25">
      <c r="A455" s="21"/>
      <c r="B455" s="21"/>
      <c r="C455" s="27"/>
      <c r="D455" s="21"/>
      <c r="E455" s="28"/>
      <c r="F455" s="28"/>
      <c r="G455" s="21"/>
      <c r="H455" s="29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</row>
    <row r="456" spans="1:30" x14ac:dyDescent="0.25">
      <c r="A456" s="21"/>
      <c r="B456" s="21"/>
      <c r="C456" s="27"/>
      <c r="D456" s="21"/>
      <c r="E456" s="28"/>
      <c r="F456" s="28"/>
      <c r="G456" s="21"/>
      <c r="H456" s="29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</row>
    <row r="457" spans="1:30" x14ac:dyDescent="0.25">
      <c r="A457" s="21"/>
      <c r="B457" s="21"/>
      <c r="C457" s="27"/>
      <c r="D457" s="21"/>
      <c r="E457" s="28"/>
      <c r="F457" s="28"/>
      <c r="G457" s="21"/>
      <c r="H457" s="29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</row>
    <row r="458" spans="1:30" x14ac:dyDescent="0.25">
      <c r="A458" s="21"/>
      <c r="B458" s="21"/>
      <c r="C458" s="27"/>
      <c r="D458" s="21"/>
      <c r="E458" s="28"/>
      <c r="F458" s="28"/>
      <c r="G458" s="21"/>
      <c r="H458" s="29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</row>
    <row r="459" spans="1:30" x14ac:dyDescent="0.25">
      <c r="A459" s="21"/>
      <c r="B459" s="21"/>
      <c r="C459" s="27"/>
      <c r="D459" s="21"/>
      <c r="E459" s="28"/>
      <c r="F459" s="28"/>
      <c r="G459" s="21"/>
      <c r="H459" s="29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</row>
    <row r="460" spans="1:30" x14ac:dyDescent="0.25">
      <c r="A460" s="21"/>
      <c r="B460" s="21"/>
      <c r="C460" s="27"/>
      <c r="D460" s="21"/>
      <c r="E460" s="28"/>
      <c r="F460" s="28"/>
      <c r="G460" s="21"/>
      <c r="H460" s="29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</row>
    <row r="461" spans="1:30" x14ac:dyDescent="0.25">
      <c r="A461" s="21"/>
      <c r="B461" s="21"/>
      <c r="C461" s="27"/>
      <c r="D461" s="21"/>
      <c r="E461" s="28"/>
      <c r="F461" s="28"/>
      <c r="G461" s="21"/>
      <c r="H461" s="29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</row>
    <row r="462" spans="1:30" x14ac:dyDescent="0.25">
      <c r="A462" s="21"/>
      <c r="B462" s="21"/>
      <c r="C462" s="27"/>
      <c r="D462" s="21"/>
      <c r="E462" s="28"/>
      <c r="F462" s="28"/>
      <c r="G462" s="21"/>
      <c r="H462" s="29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</row>
    <row r="463" spans="1:30" x14ac:dyDescent="0.25">
      <c r="A463" s="21"/>
      <c r="B463" s="21"/>
      <c r="C463" s="27"/>
      <c r="D463" s="21"/>
      <c r="E463" s="28"/>
      <c r="F463" s="28"/>
      <c r="G463" s="21"/>
      <c r="H463" s="29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</row>
    <row r="464" spans="1:30" x14ac:dyDescent="0.25">
      <c r="A464" s="21"/>
      <c r="B464" s="21"/>
      <c r="C464" s="27"/>
      <c r="D464" s="21"/>
      <c r="E464" s="28"/>
      <c r="F464" s="28"/>
      <c r="G464" s="21"/>
      <c r="H464" s="29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</row>
    <row r="465" spans="1:30" x14ac:dyDescent="0.25">
      <c r="A465" s="21"/>
      <c r="B465" s="21"/>
      <c r="C465" s="27"/>
      <c r="D465" s="21"/>
      <c r="E465" s="28"/>
      <c r="F465" s="28"/>
      <c r="G465" s="21"/>
      <c r="H465" s="29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</row>
    <row r="466" spans="1:30" x14ac:dyDescent="0.25">
      <c r="A466" s="21"/>
      <c r="B466" s="21"/>
      <c r="C466" s="27"/>
      <c r="D466" s="21"/>
      <c r="E466" s="28"/>
      <c r="F466" s="28"/>
      <c r="G466" s="21"/>
      <c r="H466" s="29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</row>
    <row r="467" spans="1:30" x14ac:dyDescent="0.25">
      <c r="A467" s="21"/>
      <c r="B467" s="21"/>
      <c r="C467" s="27"/>
      <c r="D467" s="21"/>
      <c r="E467" s="28"/>
      <c r="F467" s="28"/>
      <c r="G467" s="21"/>
      <c r="H467" s="29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</row>
    <row r="468" spans="1:30" x14ac:dyDescent="0.25">
      <c r="A468" s="21"/>
      <c r="B468" s="21"/>
      <c r="C468" s="27"/>
      <c r="D468" s="21"/>
      <c r="E468" s="28"/>
      <c r="F468" s="28"/>
      <c r="G468" s="21"/>
      <c r="H468" s="29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</row>
    <row r="469" spans="1:30" x14ac:dyDescent="0.25">
      <c r="A469" s="21"/>
      <c r="B469" s="21"/>
      <c r="C469" s="27"/>
      <c r="D469" s="21"/>
      <c r="E469" s="28"/>
      <c r="F469" s="28"/>
      <c r="G469" s="21"/>
      <c r="H469" s="29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</row>
    <row r="470" spans="1:30" x14ac:dyDescent="0.25">
      <c r="A470" s="21"/>
      <c r="B470" s="21"/>
      <c r="C470" s="27"/>
      <c r="D470" s="21"/>
      <c r="E470" s="28"/>
      <c r="F470" s="28"/>
      <c r="G470" s="21"/>
      <c r="H470" s="29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</row>
    <row r="471" spans="1:30" x14ac:dyDescent="0.25">
      <c r="A471" s="21"/>
      <c r="B471" s="21"/>
      <c r="C471" s="27"/>
      <c r="D471" s="21"/>
      <c r="E471" s="28"/>
      <c r="F471" s="28"/>
      <c r="G471" s="21"/>
      <c r="H471" s="29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</row>
    <row r="472" spans="1:30" x14ac:dyDescent="0.25">
      <c r="A472" s="21"/>
      <c r="B472" s="21"/>
      <c r="C472" s="27"/>
      <c r="D472" s="21"/>
      <c r="E472" s="28"/>
      <c r="F472" s="28"/>
      <c r="G472" s="21"/>
      <c r="H472" s="29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</row>
    <row r="473" spans="1:30" x14ac:dyDescent="0.25">
      <c r="A473" s="21"/>
      <c r="B473" s="21"/>
      <c r="C473" s="27"/>
      <c r="D473" s="21"/>
      <c r="E473" s="28"/>
      <c r="F473" s="28"/>
      <c r="G473" s="21"/>
      <c r="H473" s="29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</row>
    <row r="474" spans="1:30" x14ac:dyDescent="0.25">
      <c r="A474" s="21"/>
      <c r="B474" s="21"/>
      <c r="C474" s="27"/>
      <c r="D474" s="21"/>
      <c r="E474" s="28"/>
      <c r="F474" s="28"/>
      <c r="G474" s="21"/>
      <c r="H474" s="29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</row>
    <row r="475" spans="1:30" x14ac:dyDescent="0.25">
      <c r="A475" s="21"/>
      <c r="B475" s="21"/>
      <c r="C475" s="27"/>
      <c r="D475" s="21"/>
      <c r="E475" s="28"/>
      <c r="F475" s="28"/>
      <c r="G475" s="21"/>
      <c r="H475" s="29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</row>
    <row r="476" spans="1:30" x14ac:dyDescent="0.25">
      <c r="A476" s="21"/>
      <c r="B476" s="21"/>
      <c r="C476" s="27"/>
      <c r="D476" s="21"/>
      <c r="E476" s="28"/>
      <c r="F476" s="28"/>
      <c r="G476" s="21"/>
      <c r="H476" s="29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</row>
    <row r="477" spans="1:30" x14ac:dyDescent="0.25">
      <c r="A477" s="21"/>
      <c r="B477" s="21"/>
      <c r="C477" s="27"/>
      <c r="D477" s="21"/>
      <c r="E477" s="28"/>
      <c r="F477" s="28"/>
      <c r="G477" s="21"/>
      <c r="H477" s="29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</row>
    <row r="478" spans="1:30" x14ac:dyDescent="0.25">
      <c r="A478" s="21"/>
      <c r="B478" s="21"/>
      <c r="C478" s="27"/>
      <c r="D478" s="21"/>
      <c r="E478" s="28"/>
      <c r="F478" s="28"/>
      <c r="G478" s="21"/>
      <c r="H478" s="29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</row>
    <row r="479" spans="1:30" x14ac:dyDescent="0.25">
      <c r="A479" s="21"/>
      <c r="B479" s="21"/>
      <c r="C479" s="27"/>
      <c r="D479" s="21"/>
      <c r="E479" s="28"/>
      <c r="F479" s="28"/>
      <c r="G479" s="21"/>
      <c r="H479" s="29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</row>
    <row r="480" spans="1:30" x14ac:dyDescent="0.25">
      <c r="A480" s="21"/>
      <c r="B480" s="21"/>
      <c r="C480" s="27"/>
      <c r="D480" s="21"/>
      <c r="E480" s="28"/>
      <c r="F480" s="28"/>
      <c r="G480" s="21"/>
      <c r="H480" s="29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</row>
    <row r="481" spans="1:30" x14ac:dyDescent="0.25">
      <c r="A481" s="21"/>
      <c r="B481" s="21"/>
      <c r="C481" s="27"/>
      <c r="D481" s="21"/>
      <c r="E481" s="28"/>
      <c r="F481" s="28"/>
      <c r="G481" s="21"/>
      <c r="H481" s="29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</row>
    <row r="482" spans="1:30" x14ac:dyDescent="0.25">
      <c r="A482" s="21"/>
      <c r="B482" s="21"/>
      <c r="C482" s="27"/>
      <c r="D482" s="21"/>
      <c r="E482" s="28"/>
      <c r="F482" s="28"/>
      <c r="G482" s="21"/>
      <c r="H482" s="29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</row>
    <row r="483" spans="1:30" x14ac:dyDescent="0.25">
      <c r="A483" s="21"/>
      <c r="B483" s="21"/>
      <c r="C483" s="27"/>
      <c r="D483" s="21"/>
      <c r="E483" s="28"/>
      <c r="F483" s="28"/>
      <c r="G483" s="21"/>
      <c r="H483" s="29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</row>
    <row r="484" spans="1:30" x14ac:dyDescent="0.25">
      <c r="A484" s="21"/>
      <c r="B484" s="21"/>
      <c r="C484" s="27"/>
      <c r="D484" s="21"/>
      <c r="E484" s="28"/>
      <c r="F484" s="28"/>
      <c r="G484" s="21"/>
      <c r="H484" s="29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</row>
    <row r="485" spans="1:30" x14ac:dyDescent="0.25">
      <c r="A485" s="21"/>
      <c r="B485" s="21"/>
      <c r="C485" s="27"/>
      <c r="D485" s="21"/>
      <c r="E485" s="28"/>
      <c r="F485" s="28"/>
      <c r="G485" s="21"/>
      <c r="H485" s="29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</row>
    <row r="486" spans="1:30" x14ac:dyDescent="0.25">
      <c r="A486" s="21"/>
      <c r="B486" s="21"/>
      <c r="C486" s="27"/>
      <c r="D486" s="21"/>
      <c r="E486" s="28"/>
      <c r="F486" s="28"/>
      <c r="G486" s="21"/>
      <c r="H486" s="29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</row>
    <row r="487" spans="1:30" x14ac:dyDescent="0.25">
      <c r="A487" s="21"/>
      <c r="B487" s="21"/>
      <c r="C487" s="27"/>
      <c r="D487" s="21"/>
      <c r="E487" s="28"/>
      <c r="F487" s="28"/>
      <c r="G487" s="21"/>
      <c r="H487" s="29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</row>
    <row r="488" spans="1:30" x14ac:dyDescent="0.25">
      <c r="A488" s="21"/>
      <c r="B488" s="21"/>
      <c r="C488" s="27"/>
      <c r="D488" s="21"/>
      <c r="E488" s="28"/>
      <c r="F488" s="28"/>
      <c r="G488" s="21"/>
      <c r="H488" s="29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</row>
    <row r="489" spans="1:30" x14ac:dyDescent="0.25">
      <c r="A489" s="21"/>
      <c r="B489" s="21"/>
      <c r="C489" s="27"/>
      <c r="D489" s="21"/>
      <c r="E489" s="28"/>
      <c r="F489" s="28"/>
      <c r="G489" s="21"/>
      <c r="H489" s="29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</row>
    <row r="490" spans="1:30" x14ac:dyDescent="0.25">
      <c r="A490" s="21"/>
      <c r="B490" s="21"/>
      <c r="C490" s="27"/>
      <c r="D490" s="21"/>
      <c r="E490" s="28"/>
      <c r="F490" s="28"/>
      <c r="G490" s="21"/>
      <c r="H490" s="29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</row>
    <row r="491" spans="1:30" x14ac:dyDescent="0.25">
      <c r="A491" s="21"/>
      <c r="B491" s="21"/>
      <c r="C491" s="27"/>
      <c r="D491" s="21"/>
      <c r="E491" s="28"/>
      <c r="F491" s="28"/>
      <c r="G491" s="21"/>
      <c r="H491" s="29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</row>
    <row r="492" spans="1:30" x14ac:dyDescent="0.25">
      <c r="A492" s="21"/>
      <c r="B492" s="21"/>
      <c r="C492" s="27"/>
      <c r="D492" s="21"/>
      <c r="E492" s="28"/>
      <c r="F492" s="28"/>
      <c r="G492" s="21"/>
      <c r="H492" s="29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</row>
    <row r="493" spans="1:30" x14ac:dyDescent="0.25">
      <c r="A493" s="21"/>
      <c r="B493" s="21"/>
      <c r="C493" s="27"/>
      <c r="D493" s="21"/>
      <c r="E493" s="28"/>
      <c r="F493" s="28"/>
      <c r="G493" s="21"/>
      <c r="H493" s="29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</row>
    <row r="494" spans="1:30" x14ac:dyDescent="0.25">
      <c r="A494" s="21"/>
      <c r="B494" s="21"/>
      <c r="C494" s="27"/>
      <c r="D494" s="21"/>
      <c r="E494" s="28"/>
      <c r="F494" s="28"/>
      <c r="G494" s="21"/>
      <c r="H494" s="29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</row>
    <row r="495" spans="1:30" x14ac:dyDescent="0.25">
      <c r="A495" s="21"/>
      <c r="B495" s="21"/>
      <c r="C495" s="27"/>
      <c r="D495" s="21"/>
      <c r="E495" s="28"/>
      <c r="F495" s="28"/>
      <c r="G495" s="21"/>
      <c r="H495" s="29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</row>
    <row r="496" spans="1:30" x14ac:dyDescent="0.25">
      <c r="A496" s="21"/>
      <c r="B496" s="21"/>
      <c r="C496" s="27"/>
      <c r="D496" s="21"/>
      <c r="E496" s="28"/>
      <c r="F496" s="28"/>
      <c r="G496" s="21"/>
      <c r="H496" s="29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</row>
  </sheetData>
  <conditionalFormatting sqref="G8">
    <cfRule type="cellIs" dxfId="7" priority="6" operator="lessThan">
      <formula>0</formula>
    </cfRule>
  </conditionalFormatting>
  <conditionalFormatting sqref="C9:L10">
    <cfRule type="expression" dxfId="6" priority="4">
      <formula>$L9="Não"</formula>
    </cfRule>
    <cfRule type="expression" dxfId="5" priority="5">
      <formula>$L9="Sim"</formula>
    </cfRule>
  </conditionalFormatting>
  <conditionalFormatting sqref="F1:F8 F11:F1048576">
    <cfRule type="expression" dxfId="4" priority="3">
      <formula>_xlfn.SINGLE(StatusVisual)&lt;0.8</formula>
    </cfRule>
  </conditionalFormatting>
  <conditionalFormatting sqref="F1:F1048576">
    <cfRule type="dataBar" priority="2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{76589056-45EF-49A4-BC33-49D949D8D3E0}</x14:id>
        </ext>
      </extLst>
    </cfRule>
  </conditionalFormatting>
  <conditionalFormatting sqref="G1:G1048576">
    <cfRule type="dataBar" priority="1">
      <dataBar>
        <cfvo type="num" val="0"/>
        <cfvo type="num" val="$D$9"/>
        <color rgb="FFFF555A"/>
      </dataBar>
      <extLst>
        <ext xmlns:x14="http://schemas.microsoft.com/office/spreadsheetml/2009/9/main" uri="{B025F937-C7B1-47D3-B67F-A62EFF666E3E}">
          <x14:id>{D30F7DA3-E03E-4817-9B89-C4D8B908557C}</x14:id>
        </ext>
      </extLst>
    </cfRule>
  </conditionalFormatting>
  <dataValidations disablePrompts="1" count="1">
    <dataValidation type="list" allowBlank="1" showInputMessage="1" showErrorMessage="1" sqref="L9:L10" xr:uid="{1F1DE269-0713-4A4A-962B-5CD96163975D}">
      <formula1>"Sim,Não, "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589056-45EF-49A4-BC33-49D949D8D3E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dataBar" id="{D30F7DA3-E03E-4817-9B89-C4D8B908557C}">
            <x14:dataBar minLength="0" maxLength="100" border="1" negativeBarBorderColorSameAsPositive="0">
              <x14:cfvo type="num">
                <xm:f>0</xm:f>
              </x14:cfvo>
              <x14:cfvo type="num">
                <xm:f>$D$9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BE63-1905-48F7-AFA8-EC1C437E9F4E}">
  <dimension ref="A1:N13"/>
  <sheetViews>
    <sheetView workbookViewId="0">
      <selection activeCell="I29" sqref="I29"/>
    </sheetView>
  </sheetViews>
  <sheetFormatPr defaultRowHeight="15" x14ac:dyDescent="0.25"/>
  <cols>
    <col min="1" max="1" width="10.42578125" bestFit="1" customWidth="1"/>
    <col min="2" max="2" width="17.7109375" style="67" customWidth="1"/>
    <col min="3" max="3" width="10.42578125" bestFit="1" customWidth="1"/>
    <col min="6" max="6" width="20" bestFit="1" customWidth="1"/>
    <col min="11" max="11" width="10.42578125" bestFit="1" customWidth="1"/>
    <col min="13" max="13" width="10.42578125" bestFit="1" customWidth="1"/>
  </cols>
  <sheetData>
    <row r="1" spans="1:14" x14ac:dyDescent="0.25">
      <c r="A1" t="s">
        <v>69</v>
      </c>
      <c r="B1" t="s">
        <v>52</v>
      </c>
      <c r="C1" s="67" t="s">
        <v>55</v>
      </c>
    </row>
    <row r="2" spans="1:14" ht="15.75" thickBot="1" x14ac:dyDescent="0.3">
      <c r="A2" s="41" t="s">
        <v>57</v>
      </c>
      <c r="B2" s="41">
        <v>46023</v>
      </c>
      <c r="C2" s="67">
        <f>SUMIFS(tb_pagamentos[ValorPago],tb_pagamentos[MesRef],B2)</f>
        <v>0</v>
      </c>
    </row>
    <row r="3" spans="1:14" ht="21" x14ac:dyDescent="0.35">
      <c r="A3" s="41" t="s">
        <v>58</v>
      </c>
      <c r="B3" s="41">
        <v>46054</v>
      </c>
      <c r="C3" s="67">
        <f>SUMIFS(tb_pagamentos[ValorPago],tb_pagamentos[MesRef],B3)</f>
        <v>0</v>
      </c>
      <c r="D3" s="76" t="s">
        <v>52</v>
      </c>
      <c r="F3" s="74" t="s">
        <v>53</v>
      </c>
      <c r="G3" s="69"/>
    </row>
    <row r="4" spans="1:14" ht="16.5" thickBot="1" x14ac:dyDescent="0.3">
      <c r="A4" s="41" t="s">
        <v>59</v>
      </c>
      <c r="B4" s="41">
        <v>46082</v>
      </c>
      <c r="C4" s="67">
        <f>SUMIFS(tb_pagamentos[ValorPago],tb_pagamentos[MesRef],B4)</f>
        <v>0</v>
      </c>
      <c r="D4" s="77">
        <f ca="1">DATE(YEAR(TODAY()),MONTH(TODAY()),1)</f>
        <v>46023</v>
      </c>
      <c r="F4" s="72"/>
      <c r="G4" s="75">
        <f>SUMIFS(tb_alunos[Valor],tb_alunos[Ativo?],"SIM")</f>
        <v>0</v>
      </c>
    </row>
    <row r="5" spans="1:14" ht="15.75" thickBot="1" x14ac:dyDescent="0.3">
      <c r="A5" s="41" t="s">
        <v>60</v>
      </c>
      <c r="B5" s="41">
        <v>46113</v>
      </c>
      <c r="C5" s="67">
        <f>SUMIFS(tb_pagamentos[ValorPago],tb_pagamentos[MesRef],B5)</f>
        <v>0</v>
      </c>
    </row>
    <row r="6" spans="1:14" x14ac:dyDescent="0.25">
      <c r="A6" s="41" t="s">
        <v>61</v>
      </c>
      <c r="B6" s="41">
        <v>46143</v>
      </c>
      <c r="C6" s="67">
        <f>SUMIFS(tb_pagamentos[ValorPago],tb_pagamentos[MesRef],B6)</f>
        <v>0</v>
      </c>
      <c r="F6" s="68"/>
      <c r="G6" s="69"/>
    </row>
    <row r="7" spans="1:14" ht="21" x14ac:dyDescent="0.35">
      <c r="A7" s="41" t="s">
        <v>62</v>
      </c>
      <c r="B7" s="41">
        <v>46174</v>
      </c>
      <c r="C7" s="67">
        <f>SUMIFS(tb_pagamentos[ValorPago],tb_pagamentos[MesRef],B7)</f>
        <v>0</v>
      </c>
      <c r="F7" s="70" t="s">
        <v>54</v>
      </c>
      <c r="G7" s="71"/>
    </row>
    <row r="8" spans="1:14" ht="15.75" thickBot="1" x14ac:dyDescent="0.3">
      <c r="A8" s="41" t="s">
        <v>63</v>
      </c>
      <c r="B8" s="41">
        <v>46204</v>
      </c>
      <c r="C8" s="67">
        <f>SUMIFS(tb_pagamentos[ValorPago],tb_pagamentos[MesRef],B8)</f>
        <v>0</v>
      </c>
      <c r="F8" s="72"/>
      <c r="G8" s="73">
        <f>COUNTIFS(tb_alunos[Ativo?],"=Sim")</f>
        <v>0</v>
      </c>
    </row>
    <row r="9" spans="1:14" x14ac:dyDescent="0.25">
      <c r="A9" s="41" t="s">
        <v>64</v>
      </c>
      <c r="B9" s="41">
        <v>46235</v>
      </c>
      <c r="C9" s="67">
        <f>SUMIFS(tb_pagamentos[ValorPago],tb_pagamentos[MesRef],B9)</f>
        <v>0</v>
      </c>
      <c r="M9" t="s">
        <v>55</v>
      </c>
      <c r="N9" t="s">
        <v>48</v>
      </c>
    </row>
    <row r="10" spans="1:14" x14ac:dyDescent="0.25">
      <c r="A10" s="41" t="s">
        <v>65</v>
      </c>
      <c r="B10" s="41">
        <v>46266</v>
      </c>
      <c r="C10" s="67">
        <f>SUMIFS(tb_pagamentos[ValorPago],tb_pagamentos[MesRef],B10)</f>
        <v>0</v>
      </c>
      <c r="N10" s="41">
        <f ca="1">DATE(YEAR(TODAY()),1,1)</f>
        <v>46023</v>
      </c>
    </row>
    <row r="11" spans="1:14" x14ac:dyDescent="0.25">
      <c r="A11" s="41" t="s">
        <v>66</v>
      </c>
      <c r="B11" s="41">
        <v>46296</v>
      </c>
      <c r="C11" s="67">
        <f>SUMIFS(tb_pagamentos[ValorPago],tb_pagamentos[MesRef],B11)</f>
        <v>0</v>
      </c>
    </row>
    <row r="12" spans="1:14" x14ac:dyDescent="0.25">
      <c r="A12" s="41" t="s">
        <v>67</v>
      </c>
      <c r="B12" s="41">
        <v>46327</v>
      </c>
      <c r="C12" s="67">
        <f>SUMIFS(tb_pagamentos[ValorPago],tb_pagamentos[MesRef],B12)</f>
        <v>0</v>
      </c>
    </row>
    <row r="13" spans="1:14" x14ac:dyDescent="0.25">
      <c r="A13" s="41" t="s">
        <v>68</v>
      </c>
      <c r="B13" s="41">
        <v>46357</v>
      </c>
      <c r="C13" s="67">
        <f>SUMIFS(tb_pagamentos[ValorPago],tb_pagamentos[MesRef],B13)</f>
        <v>0</v>
      </c>
    </row>
  </sheetData>
  <phoneticPr fontId="4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3A888-DF68-4F6F-B56A-A841617B5034}">
  <sheetPr codeName="Planilha3"/>
  <dimension ref="A4:R38"/>
  <sheetViews>
    <sheetView workbookViewId="0">
      <selection activeCell="I29" sqref="I29"/>
    </sheetView>
  </sheetViews>
  <sheetFormatPr defaultRowHeight="15" x14ac:dyDescent="0.25"/>
  <sheetData>
    <row r="4" spans="1:18" ht="20.25" thickBot="1" x14ac:dyDescent="0.35">
      <c r="L4" s="20" t="s">
        <v>15</v>
      </c>
      <c r="M4" s="20"/>
      <c r="N4" s="20"/>
      <c r="O4" s="20"/>
      <c r="P4" s="20"/>
      <c r="Q4" s="20"/>
      <c r="R4" s="20"/>
    </row>
    <row r="5" spans="1:18" ht="21" thickTop="1" thickBot="1" x14ac:dyDescent="0.35">
      <c r="A5" s="20" t="s">
        <v>13</v>
      </c>
      <c r="B5" s="20"/>
      <c r="C5" s="20"/>
      <c r="D5" s="20"/>
      <c r="E5" s="20"/>
      <c r="F5" s="20"/>
      <c r="G5" s="20"/>
    </row>
    <row r="6" spans="1:18" ht="15.75" thickTop="1" x14ac:dyDescent="0.25">
      <c r="B6" t="s">
        <v>0</v>
      </c>
      <c r="C6" s="1"/>
    </row>
    <row r="7" spans="1:18" x14ac:dyDescent="0.25">
      <c r="B7" t="s">
        <v>1</v>
      </c>
      <c r="C7" s="2"/>
      <c r="E7" s="21" t="s">
        <v>17</v>
      </c>
      <c r="F7" t="s">
        <v>18</v>
      </c>
    </row>
    <row r="8" spans="1:18" x14ac:dyDescent="0.25">
      <c r="B8" t="s">
        <v>2</v>
      </c>
      <c r="C8" s="3"/>
    </row>
    <row r="9" spans="1:18" x14ac:dyDescent="0.25">
      <c r="B9" t="s">
        <v>3</v>
      </c>
      <c r="C9" s="4"/>
    </row>
    <row r="10" spans="1:18" x14ac:dyDescent="0.25">
      <c r="B10" t="s">
        <v>4</v>
      </c>
      <c r="C10" s="5"/>
    </row>
    <row r="16" spans="1:18" ht="20.25" thickBot="1" x14ac:dyDescent="0.35">
      <c r="A16" s="20" t="s">
        <v>14</v>
      </c>
      <c r="B16" s="20"/>
      <c r="C16" s="20"/>
      <c r="D16" s="20"/>
      <c r="E16" s="20"/>
      <c r="F16" s="20"/>
      <c r="G16" s="20"/>
    </row>
    <row r="17" spans="1:9" ht="15.75" thickTop="1" x14ac:dyDescent="0.25"/>
    <row r="18" spans="1:9" x14ac:dyDescent="0.25">
      <c r="A18" s="6"/>
      <c r="B18" s="6"/>
      <c r="C18" s="6"/>
      <c r="D18" s="6"/>
      <c r="E18" s="6"/>
      <c r="F18" s="6"/>
      <c r="G18" s="6"/>
      <c r="H18" s="6"/>
      <c r="I18" s="6"/>
    </row>
    <row r="19" spans="1:9" x14ac:dyDescent="0.25">
      <c r="A19" s="6"/>
      <c r="B19" s="6"/>
      <c r="C19" s="6"/>
      <c r="D19" s="6"/>
      <c r="E19" s="6"/>
      <c r="F19" s="6"/>
      <c r="G19" s="6"/>
      <c r="H19" s="6"/>
      <c r="I19" s="6"/>
    </row>
    <row r="20" spans="1:9" x14ac:dyDescent="0.25">
      <c r="A20" s="6"/>
      <c r="B20" s="6"/>
      <c r="C20" s="6"/>
      <c r="D20" s="6"/>
      <c r="E20" s="6"/>
      <c r="F20" s="6"/>
      <c r="G20" s="6"/>
      <c r="H20" s="6"/>
      <c r="I20" s="6"/>
    </row>
    <row r="21" spans="1:9" x14ac:dyDescent="0.25">
      <c r="A21" s="6"/>
      <c r="B21" s="6"/>
      <c r="C21" s="6"/>
      <c r="D21" s="6"/>
      <c r="E21" s="6"/>
      <c r="F21" s="6"/>
      <c r="G21" s="6"/>
      <c r="H21" s="6"/>
      <c r="I21" s="6"/>
    </row>
    <row r="22" spans="1:9" x14ac:dyDescent="0.25">
      <c r="A22" s="6"/>
      <c r="B22" s="6"/>
      <c r="C22" s="6"/>
      <c r="D22" s="6"/>
      <c r="E22" s="6"/>
      <c r="F22" s="6"/>
      <c r="G22" s="6"/>
      <c r="H22" s="6"/>
      <c r="I22" s="6"/>
    </row>
    <row r="23" spans="1:9" x14ac:dyDescent="0.25">
      <c r="A23" s="6"/>
      <c r="B23" s="6"/>
      <c r="C23" s="6"/>
      <c r="D23" s="6"/>
      <c r="E23" s="6"/>
      <c r="F23" s="6"/>
      <c r="G23" s="6"/>
      <c r="H23" s="6"/>
      <c r="I23" s="6"/>
    </row>
    <row r="24" spans="1:9" x14ac:dyDescent="0.25">
      <c r="A24" s="6"/>
      <c r="B24" s="6"/>
      <c r="C24" s="6"/>
      <c r="D24" s="6"/>
      <c r="E24" s="6"/>
      <c r="F24" s="6"/>
      <c r="G24" s="6"/>
      <c r="H24" s="6"/>
      <c r="I24" s="6"/>
    </row>
    <row r="25" spans="1:9" x14ac:dyDescent="0.25">
      <c r="A25" s="6"/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6"/>
      <c r="B26" s="6"/>
      <c r="C26" s="6"/>
      <c r="D26" s="6"/>
      <c r="E26" s="6"/>
      <c r="F26" s="6"/>
      <c r="G26" s="6"/>
      <c r="H26" s="6"/>
      <c r="I26" s="6"/>
    </row>
    <row r="27" spans="1:9" x14ac:dyDescent="0.25">
      <c r="A27" s="6"/>
      <c r="B27" s="6"/>
      <c r="C27" s="6"/>
      <c r="D27" s="6"/>
      <c r="E27" s="6"/>
      <c r="F27" s="6"/>
      <c r="G27" s="6"/>
      <c r="H27" s="6"/>
      <c r="I27" s="6"/>
    </row>
    <row r="28" spans="1:9" x14ac:dyDescent="0.25">
      <c r="A28" s="6"/>
      <c r="B28" s="6"/>
      <c r="C28" s="6"/>
      <c r="D28" s="6"/>
      <c r="E28" s="6"/>
      <c r="F28" s="6"/>
      <c r="G28" s="6"/>
      <c r="H28" s="6"/>
      <c r="I28" s="6"/>
    </row>
    <row r="29" spans="1:9" x14ac:dyDescent="0.25">
      <c r="A29" s="6"/>
      <c r="B29" s="6"/>
      <c r="C29" s="6"/>
      <c r="D29" s="6"/>
      <c r="E29" s="6"/>
      <c r="F29" s="6"/>
      <c r="G29" s="6"/>
      <c r="H29" s="6"/>
      <c r="I29" s="6"/>
    </row>
    <row r="30" spans="1:9" x14ac:dyDescent="0.25">
      <c r="A30" s="6"/>
      <c r="B30" s="6"/>
      <c r="C30" s="6"/>
      <c r="D30" s="6"/>
      <c r="E30" s="6"/>
      <c r="F30" s="6"/>
      <c r="G30" s="6"/>
      <c r="H30" s="6"/>
      <c r="I30" s="6"/>
    </row>
    <row r="31" spans="1:9" x14ac:dyDescent="0.25">
      <c r="A31" s="6"/>
      <c r="B31" s="6"/>
      <c r="C31" s="6"/>
      <c r="D31" s="6"/>
      <c r="E31" s="6"/>
      <c r="F31" s="6"/>
      <c r="G31" s="6"/>
      <c r="H31" s="6"/>
      <c r="I31" s="6"/>
    </row>
    <row r="32" spans="1:9" x14ac:dyDescent="0.25">
      <c r="A32" s="6"/>
      <c r="B32" s="6"/>
      <c r="C32" s="6"/>
      <c r="D32" s="6"/>
      <c r="E32" s="6"/>
      <c r="F32" s="6"/>
      <c r="G32" s="6"/>
      <c r="H32" s="6"/>
      <c r="I32" s="6"/>
    </row>
    <row r="33" spans="1:9" x14ac:dyDescent="0.25">
      <c r="A33" s="6"/>
      <c r="B33" s="6"/>
      <c r="C33" s="6"/>
      <c r="D33" s="6"/>
      <c r="E33" s="6"/>
      <c r="F33" s="6"/>
      <c r="G33" s="6"/>
      <c r="H33" s="6"/>
      <c r="I33" s="6"/>
    </row>
    <row r="34" spans="1:9" x14ac:dyDescent="0.25">
      <c r="A34" s="6"/>
      <c r="B34" s="6"/>
      <c r="C34" s="6"/>
      <c r="D34" s="6"/>
      <c r="E34" s="6"/>
      <c r="F34" s="6"/>
      <c r="G34" s="6"/>
      <c r="H34" s="6"/>
      <c r="I34" s="6"/>
    </row>
    <row r="35" spans="1:9" x14ac:dyDescent="0.25">
      <c r="A35" s="6"/>
      <c r="B35" s="6"/>
      <c r="C35" s="6"/>
      <c r="D35" s="6"/>
      <c r="E35" s="6"/>
      <c r="F35" s="6"/>
      <c r="G35" s="6"/>
      <c r="H35" s="6"/>
      <c r="I35" s="6"/>
    </row>
    <row r="36" spans="1:9" x14ac:dyDescent="0.25">
      <c r="A36" s="6"/>
      <c r="B36" s="6"/>
      <c r="C36" s="6"/>
      <c r="D36" s="6"/>
      <c r="E36" s="6"/>
      <c r="F36" s="6"/>
      <c r="G36" s="6"/>
      <c r="H36" s="6"/>
      <c r="I36" s="6"/>
    </row>
    <row r="37" spans="1:9" x14ac:dyDescent="0.25">
      <c r="A37" s="6"/>
      <c r="B37" s="6"/>
      <c r="C37" s="6"/>
      <c r="D37" s="6"/>
      <c r="E37" s="6"/>
      <c r="F37" s="6"/>
      <c r="G37" s="6"/>
      <c r="H37" s="6"/>
      <c r="I37" s="6"/>
    </row>
    <row r="38" spans="1:9" x14ac:dyDescent="0.25">
      <c r="A38" s="6"/>
      <c r="B38" s="6"/>
      <c r="C38" s="6"/>
      <c r="D38" s="6"/>
      <c r="E38" s="6"/>
      <c r="F38" s="6"/>
      <c r="G38" s="6"/>
      <c r="H38" s="6"/>
      <c r="I38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34842-1AF4-443C-BEB0-2AFCB969A560}">
  <sheetPr codeName="Planilha4"/>
  <dimension ref="B2:N3"/>
  <sheetViews>
    <sheetView workbookViewId="0">
      <selection activeCell="E3" sqref="E3:H6"/>
    </sheetView>
  </sheetViews>
  <sheetFormatPr defaultRowHeight="15" x14ac:dyDescent="0.25"/>
  <cols>
    <col min="3" max="3" width="10.42578125" customWidth="1"/>
    <col min="5" max="5" width="10.28515625" customWidth="1"/>
    <col min="6" max="6" width="11.140625" customWidth="1"/>
    <col min="7" max="7" width="12.140625" customWidth="1"/>
    <col min="8" max="8" width="10.42578125" bestFit="1" customWidth="1"/>
    <col min="10" max="10" width="10.28515625" customWidth="1"/>
    <col min="11" max="11" width="12.140625" customWidth="1"/>
    <col min="13" max="13" width="11.28515625" customWidth="1"/>
    <col min="14" max="14" width="10.42578125" style="67" bestFit="1" customWidth="1"/>
  </cols>
  <sheetData>
    <row r="2" spans="2:14" x14ac:dyDescent="0.25">
      <c r="B2" t="s">
        <v>41</v>
      </c>
      <c r="C2" t="s">
        <v>42</v>
      </c>
      <c r="E2" t="s">
        <v>46</v>
      </c>
      <c r="F2" t="s">
        <v>47</v>
      </c>
      <c r="G2" t="s">
        <v>44</v>
      </c>
      <c r="H2" t="s">
        <v>48</v>
      </c>
      <c r="J2" t="s">
        <v>46</v>
      </c>
      <c r="K2" t="s">
        <v>48</v>
      </c>
      <c r="L2" t="s">
        <v>43</v>
      </c>
      <c r="M2" t="s">
        <v>49</v>
      </c>
      <c r="N2" s="67" t="s">
        <v>56</v>
      </c>
    </row>
    <row r="3" spans="2:14" x14ac:dyDescent="0.25">
      <c r="F3" s="41"/>
      <c r="H3" s="41"/>
      <c r="K3" s="41"/>
      <c r="M3" s="41"/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Controle_Alunos</vt:lpstr>
      <vt:lpstr>Controle_aulas</vt:lpstr>
      <vt:lpstr>Dashboard</vt:lpstr>
      <vt:lpstr>Calculos</vt:lpstr>
      <vt:lpstr>ASSETS</vt:lpstr>
      <vt:lpstr>BASES</vt:lpstr>
      <vt:lpstr>ListaAlunos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ouity ouily</dc:creator>
  <cp:lastModifiedBy>ouity ouily</cp:lastModifiedBy>
  <dcterms:created xsi:type="dcterms:W3CDTF">2026-01-05T12:13:08Z</dcterms:created>
  <dcterms:modified xsi:type="dcterms:W3CDTF">2026-01-06T22:31:55Z</dcterms:modified>
</cp:coreProperties>
</file>